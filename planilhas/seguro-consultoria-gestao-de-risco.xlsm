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7ecd90314f6056f/Documentos/"/>
    </mc:Choice>
  </mc:AlternateContent>
  <xr:revisionPtr revIDLastSave="142" documentId="8_{9B47A682-4A4F-4790-977F-00E5E610383A}" xr6:coauthVersionLast="47" xr6:coauthVersionMax="47" xr10:uidLastSave="{FF2FD8ED-90C6-43B6-8F9E-F7E9E41C6AD5}"/>
  <bookViews>
    <workbookView xWindow="-108" yWindow="-108" windowWidth="23256" windowHeight="12456" firstSheet="1" activeTab="1" xr2:uid="{E3B48E60-8026-4089-9912-A91A8C36BE18}"/>
  </bookViews>
  <sheets>
    <sheet name="Planilha1" sheetId="1" state="hidden" r:id="rId1"/>
    <sheet name="VIDA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2" l="1"/>
  <c r="B26" i="2"/>
  <c r="F26" i="2"/>
  <c r="H25" i="2"/>
  <c r="G43" i="2"/>
  <c r="J9" i="2"/>
  <c r="G42" i="2"/>
  <c r="G41" i="2"/>
  <c r="J35" i="2"/>
  <c r="J21" i="1"/>
  <c r="J15" i="1"/>
  <c r="I16" i="1"/>
  <c r="J16" i="1" s="1"/>
  <c r="I17" i="1"/>
  <c r="J17" i="1" s="1"/>
  <c r="I18" i="1"/>
  <c r="J18" i="1" s="1"/>
  <c r="I19" i="1"/>
  <c r="J19" i="1" s="1"/>
  <c r="I15" i="1"/>
  <c r="E17" i="1"/>
  <c r="E16" i="1"/>
  <c r="E18" i="1"/>
  <c r="E19" i="1"/>
  <c r="E15" i="1"/>
  <c r="C15" i="1"/>
  <c r="C16" i="1"/>
  <c r="C17" i="1" s="1"/>
  <c r="C18" i="1" s="1"/>
  <c r="C19" i="1" s="1"/>
  <c r="I8" i="1"/>
  <c r="I6" i="1"/>
  <c r="I5" i="1"/>
  <c r="L25" i="2" l="1"/>
  <c r="F43" i="2"/>
  <c r="F41" i="2"/>
  <c r="L9" i="2" l="1"/>
  <c r="F42" i="2"/>
  <c r="K41" i="2" s="1"/>
  <c r="L35" i="2"/>
</calcChain>
</file>

<file path=xl/sharedStrings.xml><?xml version="1.0" encoding="utf-8"?>
<sst xmlns="http://schemas.openxmlformats.org/spreadsheetml/2006/main" count="86" uniqueCount="65">
  <si>
    <t>Idade</t>
  </si>
  <si>
    <t>Renda:</t>
  </si>
  <si>
    <t>Renda conjuge:</t>
  </si>
  <si>
    <t>Despesa da casa:</t>
  </si>
  <si>
    <t>João</t>
  </si>
  <si>
    <t>Filho? Quantos:</t>
  </si>
  <si>
    <t>Escola</t>
  </si>
  <si>
    <t>Teto aposentadoria:</t>
  </si>
  <si>
    <t>%</t>
  </si>
  <si>
    <t>R$</t>
  </si>
  <si>
    <t>2. Mercado</t>
  </si>
  <si>
    <t>3. Aluguel</t>
  </si>
  <si>
    <t>Patrimonio atual:</t>
  </si>
  <si>
    <t>4. Financiamento</t>
  </si>
  <si>
    <t>5. Curso</t>
  </si>
  <si>
    <t>6. Luz / água</t>
  </si>
  <si>
    <t>7. Curso</t>
  </si>
  <si>
    <t>1. Escola filhos</t>
  </si>
  <si>
    <t>inss</t>
  </si>
  <si>
    <t>15 dias afastamento - Inss</t>
  </si>
  <si>
    <t>Consultoria - Gestão de Risco Financeiro</t>
  </si>
  <si>
    <t>Nome:</t>
  </si>
  <si>
    <t>Idade:</t>
  </si>
  <si>
    <t>Profissão:</t>
  </si>
  <si>
    <t>Casado:</t>
  </si>
  <si>
    <t>Curso</t>
  </si>
  <si>
    <t>Outros</t>
  </si>
  <si>
    <t>Dependente</t>
  </si>
  <si>
    <t>Dependentes - Filho (s)</t>
  </si>
  <si>
    <t>Depend. Em anos:</t>
  </si>
  <si>
    <t>Total:</t>
  </si>
  <si>
    <t>Custo até 21y</t>
  </si>
  <si>
    <t>Despesas mensais:</t>
  </si>
  <si>
    <t>Nome do cônjuge:</t>
  </si>
  <si>
    <t>Renda com cônjuge:</t>
  </si>
  <si>
    <t>Renda do cliente: (R$)</t>
  </si>
  <si>
    <t>Manutenção da família:</t>
  </si>
  <si>
    <t>Valor fixo:</t>
  </si>
  <si>
    <t>Percentual:</t>
  </si>
  <si>
    <t>Tempo</t>
  </si>
  <si>
    <t>Patrimônio:</t>
  </si>
  <si>
    <t>Automóveis</t>
  </si>
  <si>
    <t>Imóveis</t>
  </si>
  <si>
    <t>Investimento s/ previdência</t>
  </si>
  <si>
    <t>Sucessão Patrimonial</t>
  </si>
  <si>
    <t>Valor do inventário</t>
  </si>
  <si>
    <t>Taxa:</t>
  </si>
  <si>
    <t>Educação dos filhos:</t>
  </si>
  <si>
    <t>Gasto mensal:</t>
  </si>
  <si>
    <t>Educação dos filhos</t>
  </si>
  <si>
    <t>Valor Educação:</t>
  </si>
  <si>
    <t>Nome do cliente:</t>
  </si>
  <si>
    <t>temporária</t>
  </si>
  <si>
    <t>Vida Inteira</t>
  </si>
  <si>
    <t>Planejamento Patrimonial &amp; Vida</t>
  </si>
  <si>
    <t>Garante que, se você faltar, a educação dos seus filhos continuará no mesmo padrão, cobrindo as despesas escolares durante o período que você definiu como necessário para que eles se tornem independentes.</t>
  </si>
  <si>
    <t>Calcula o valor necessário para custear o inventário e garantir que sua família consiga fazer a sucessão do seu patrimônio sem impacto financeiro.</t>
  </si>
  <si>
    <t>Cobertura total:</t>
  </si>
  <si>
    <t>Renda familiar:</t>
  </si>
  <si>
    <t>Patrick Matos</t>
  </si>
  <si>
    <t>Bryan Matos</t>
  </si>
  <si>
    <t>Independência:</t>
  </si>
  <si>
    <t>Ster</t>
  </si>
  <si>
    <t>Calcula quanto a família precisa para manter o mesmo padrão de vida considerando a perda da sua renda, e garante esse valor pelo período que você escolher.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</si>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</sst>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\ * #,##0_-;\-&quot;R$&quot;\ * #,##0_-;_-&quot;R$&quot;\ * &quot;-&quot;??_-;_-@_-"/>
    <numFmt numFmtId="165" formatCode="&quot;R$&quot;\ #,##0.00"/>
  </numFmts>
  <fonts count="2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0"/>
      <name val="Century Gothic"/>
      <family val="2"/>
    </font>
    <font>
      <b/>
      <sz val="18"/>
      <color theme="0"/>
      <name val="Century Gothic"/>
      <family val="2"/>
    </font>
    <font>
      <sz val="9"/>
      <color theme="1"/>
      <name val="Century Gothic"/>
      <family val="2"/>
    </font>
    <font>
      <sz val="8"/>
      <color theme="1"/>
      <name val="Century Gothic"/>
      <family val="2"/>
    </font>
    <font>
      <b/>
      <sz val="8"/>
      <color theme="1"/>
      <name val="Century Gothic"/>
      <family val="2"/>
    </font>
    <font>
      <b/>
      <sz val="20"/>
      <color theme="0"/>
      <name val="Century Gothic"/>
      <family val="2"/>
    </font>
    <font>
      <b/>
      <sz val="9"/>
      <color theme="1"/>
      <name val="Century Gothic"/>
      <family val="2"/>
    </font>
    <font>
      <sz val="11"/>
      <color theme="0"/>
      <name val="Century Gothic"/>
      <family val="2"/>
    </font>
    <font>
      <sz val="8"/>
      <color theme="0"/>
      <name val="Century Gothic"/>
      <family val="2"/>
    </font>
    <font>
      <sz val="10"/>
      <color theme="0"/>
      <name val="Century Gothic"/>
      <family val="2"/>
    </font>
    <font>
      <sz val="9"/>
      <color theme="0"/>
      <name val="Century Gothic"/>
      <family val="2"/>
    </font>
    <font>
      <sz val="10"/>
      <color rgb="FFFFFFFF"/>
      <name val="Century Gothic"/>
      <family val="2"/>
    </font>
    <font>
      <b/>
      <sz val="11"/>
      <color rgb="FFFFFFFF"/>
      <name val="Century Gothic"/>
      <family val="2"/>
    </font>
    <font>
      <b/>
      <sz val="14"/>
      <color theme="0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9AB8F"/>
        <bgColor indexed="64"/>
      </patternFill>
    </fill>
    <fill>
      <patternFill patternType="solid">
        <fgColor rgb="FF092923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indent="1"/>
    </xf>
    <xf numFmtId="0" fontId="7" fillId="2" borderId="1" xfId="0" applyFont="1" applyFill="1" applyBorder="1" applyAlignment="1">
      <alignment horizontal="center"/>
    </xf>
    <xf numFmtId="9" fontId="4" fillId="0" borderId="1" xfId="2" applyFont="1" applyBorder="1" applyAlignment="1">
      <alignment horizontal="center"/>
    </xf>
    <xf numFmtId="9" fontId="4" fillId="3" borderId="1" xfId="2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right" vertical="center" indent="1"/>
    </xf>
    <xf numFmtId="0" fontId="7" fillId="2" borderId="3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44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/>
    <xf numFmtId="0" fontId="7" fillId="2" borderId="1" xfId="0" applyFont="1" applyFill="1" applyBorder="1"/>
    <xf numFmtId="44" fontId="9" fillId="0" borderId="0" xfId="0" applyNumberFormat="1" applyFont="1"/>
    <xf numFmtId="44" fontId="9" fillId="0" borderId="1" xfId="0" applyNumberFormat="1" applyFont="1" applyBorder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2" fillId="6" borderId="9" xfId="0" applyNumberFormat="1" applyFont="1" applyFill="1" applyBorder="1" applyAlignment="1">
      <alignment horizontal="center" vertical="center"/>
    </xf>
    <xf numFmtId="165" fontId="2" fillId="6" borderId="9" xfId="0" applyNumberFormat="1" applyFont="1" applyFill="1" applyBorder="1" applyAlignment="1">
      <alignment horizontal="center" vertical="center"/>
    </xf>
    <xf numFmtId="165" fontId="2" fillId="6" borderId="5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0" fillId="0" borderId="0" xfId="2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165" fontId="9" fillId="6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 indent="1"/>
    </xf>
    <xf numFmtId="0" fontId="7" fillId="2" borderId="1" xfId="0" applyFont="1" applyFill="1" applyBorder="1" applyAlignment="1">
      <alignment horizontal="center"/>
    </xf>
    <xf numFmtId="165" fontId="3" fillId="8" borderId="0" xfId="0" applyNumberFormat="1" applyFont="1" applyFill="1" applyAlignment="1">
      <alignment horizontal="center" vertical="center"/>
    </xf>
    <xf numFmtId="165" fontId="2" fillId="6" borderId="10" xfId="0" applyNumberFormat="1" applyFont="1" applyFill="1" applyBorder="1" applyAlignment="1">
      <alignment horizontal="center" vertical="center"/>
    </xf>
    <xf numFmtId="165" fontId="2" fillId="6" borderId="8" xfId="0" applyNumberFormat="1" applyFont="1" applyFill="1" applyBorder="1" applyAlignment="1">
      <alignment horizontal="center" vertical="center"/>
    </xf>
    <xf numFmtId="165" fontId="2" fillId="6" borderId="11" xfId="0" applyNumberFormat="1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9" fontId="16" fillId="10" borderId="6" xfId="2" applyFont="1" applyFill="1" applyBorder="1" applyAlignment="1">
      <alignment horizontal="center" vertical="center"/>
    </xf>
    <xf numFmtId="0" fontId="16" fillId="10" borderId="6" xfId="0" applyFont="1" applyFill="1" applyBorder="1" applyAlignment="1">
      <alignment horizontal="center" vertical="center"/>
    </xf>
    <xf numFmtId="165" fontId="17" fillId="10" borderId="6" xfId="0" applyNumberFormat="1" applyFont="1" applyFill="1" applyBorder="1" applyAlignment="1">
      <alignment horizontal="center" vertical="center"/>
    </xf>
    <xf numFmtId="9" fontId="14" fillId="10" borderId="6" xfId="2" applyFont="1" applyFill="1" applyBorder="1" applyAlignment="1">
      <alignment horizontal="center" vertical="center"/>
    </xf>
    <xf numFmtId="165" fontId="18" fillId="10" borderId="6" xfId="0" applyNumberFormat="1" applyFont="1" applyFill="1" applyBorder="1" applyAlignment="1">
      <alignment horizontal="center" vertical="center"/>
    </xf>
    <xf numFmtId="9" fontId="18" fillId="10" borderId="6" xfId="2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9" fontId="11" fillId="0" borderId="0" xfId="2" applyFont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0" fontId="20" fillId="9" borderId="0" xfId="0" applyFont="1" applyFill="1" applyAlignment="1">
      <alignment horizontal="left" vertical="center" indent="2"/>
    </xf>
    <xf numFmtId="0" fontId="9" fillId="0" borderId="0" xfId="0" applyFont="1" applyAlignment="1">
      <alignment horizontal="center" vertical="center"/>
    </xf>
    <xf numFmtId="44" fontId="11" fillId="0" borderId="0" xfId="1" applyFont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092923"/>
      <color rgb="FF29AB8F"/>
      <color rgb="FF2EBB94"/>
      <color rgb="FF2CBF9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1143000</xdr:colOff>
      <xdr:row>0</xdr:row>
      <xdr:rowOff>464820</xdr:rowOff>
    </xdr:to>
    <xdr:sp macro="" textlink="">
      <xdr:nvSpPr>
        <xdr:cNvPr id="2" name="Freeform 3">
          <a:extLst>
            <a:ext uri="{FF2B5EF4-FFF2-40B4-BE49-F238E27FC236}">
              <a16:creationId xmlns:a16="http://schemas.microsoft.com/office/drawing/2014/main" id="{1AF5DE71-D9C9-166E-4E3F-316A6A0FA7DA}"/>
            </a:ext>
          </a:extLst>
        </xdr:cNvPr>
        <xdr:cNvSpPr/>
      </xdr:nvSpPr>
      <xdr:spPr>
        <a:xfrm>
          <a:off x="121920" y="60960"/>
          <a:ext cx="1135380" cy="403860"/>
        </a:xfrm>
        <a:custGeom>
          <a:avLst/>
          <a:gdLst/>
          <a:ahLst/>
          <a:cxnLst/>
          <a:rect l="l" t="t" r="r" b="b"/>
          <a:pathLst>
            <a:path w="1390704" h="614314">
              <a:moveTo>
                <a:pt x="0" y="0"/>
              </a:moveTo>
              <a:lnTo>
                <a:pt x="1390704" y="0"/>
              </a:lnTo>
              <a:lnTo>
                <a:pt x="1390704" y="614313"/>
              </a:lnTo>
              <a:lnTo>
                <a:pt x="0" y="61431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/>
          <a:stretch>
            <a:fillRect t="-65716" b="-60666"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pt-BR"/>
        </a:p>
      </xdr:txBody>
    </xdr:sp>
    <xdr:clientData/>
  </xdr:twoCellAnchor>
  <xdr:twoCellAnchor editAs="oneCell">
    <xdr:from>
      <xdr:col>15</xdr:col>
      <xdr:colOff>274320</xdr:colOff>
      <xdr:row>0</xdr:row>
      <xdr:rowOff>99060</xdr:rowOff>
    </xdr:from>
    <xdr:to>
      <xdr:col>15</xdr:col>
      <xdr:colOff>556260</xdr:colOff>
      <xdr:row>0</xdr:row>
      <xdr:rowOff>381000</xdr:rowOff>
    </xdr:to>
    <xdr:pic macro="[0]!Gráfico4_Clique">
      <xdr:nvPicPr>
        <xdr:cNvPr id="5" name="Gráfico 4" descr="Impressora com preenchimento sólido">
          <a:extLst>
            <a:ext uri="{FF2B5EF4-FFF2-40B4-BE49-F238E27FC236}">
              <a16:creationId xmlns:a16="http://schemas.microsoft.com/office/drawing/2014/main" id="{57D25771-5CAA-22C2-5476-9EA9617AB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271760" y="99060"/>
          <a:ext cx="281940" cy="281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436A-EF9F-4061-AF07-623B33F2C53B}">
  <sheetPr codeName="Planilha1"/>
  <dimension ref="A2:N26"/>
  <sheetViews>
    <sheetView showGridLines="0" zoomScaleNormal="100" workbookViewId="0">
      <selection activeCell="L14" sqref="L14"/>
    </sheetView>
  </sheetViews>
  <sheetFormatPr defaultColWidth="9.109375" defaultRowHeight="13.8" x14ac:dyDescent="0.25"/>
  <cols>
    <col min="1" max="1" width="9.109375" style="2"/>
    <col min="2" max="2" width="19" style="1" customWidth="1"/>
    <col min="3" max="3" width="8.5546875" style="1" customWidth="1"/>
    <col min="4" max="4" width="11" style="2" customWidth="1"/>
    <col min="5" max="5" width="10" style="2" customWidth="1"/>
    <col min="6" max="8" width="12.33203125" style="2" customWidth="1"/>
    <col min="9" max="9" width="11.44140625" style="2" customWidth="1"/>
    <col min="10" max="10" width="13.44140625" style="2" customWidth="1"/>
    <col min="11" max="16384" width="9.109375" style="2"/>
  </cols>
  <sheetData>
    <row r="2" spans="1:14" ht="25.5" customHeight="1" x14ac:dyDescent="0.25">
      <c r="B2" s="38" t="s">
        <v>20</v>
      </c>
      <c r="C2" s="38"/>
      <c r="D2" s="38"/>
      <c r="E2" s="38"/>
      <c r="F2" s="38"/>
      <c r="G2" s="38"/>
      <c r="H2" s="38"/>
      <c r="I2" s="38"/>
      <c r="J2" s="38"/>
    </row>
    <row r="4" spans="1:14" ht="18" customHeight="1" x14ac:dyDescent="0.25">
      <c r="B4" s="10" t="s">
        <v>21</v>
      </c>
      <c r="C4" s="39" t="s">
        <v>4</v>
      </c>
      <c r="D4" s="39"/>
      <c r="E4" s="3"/>
      <c r="F4" s="4"/>
      <c r="H4" s="19" t="s">
        <v>9</v>
      </c>
      <c r="I4" s="6" t="s">
        <v>8</v>
      </c>
    </row>
    <row r="5" spans="1:14" ht="18" customHeight="1" x14ac:dyDescent="0.25">
      <c r="B5" s="10" t="s">
        <v>22</v>
      </c>
      <c r="C5" s="39"/>
      <c r="D5" s="39"/>
      <c r="E5" s="3"/>
      <c r="F5" s="40" t="s">
        <v>1</v>
      </c>
      <c r="G5" s="40"/>
      <c r="H5" s="18">
        <v>10000</v>
      </c>
      <c r="I5" s="7">
        <f>H5/SUM(H5:H6)</f>
        <v>0.66666666666666663</v>
      </c>
    </row>
    <row r="6" spans="1:14" ht="18" customHeight="1" x14ac:dyDescent="0.25">
      <c r="B6" s="10" t="s">
        <v>23</v>
      </c>
      <c r="C6" s="39"/>
      <c r="D6" s="39"/>
      <c r="E6" s="3"/>
      <c r="F6" s="40" t="s">
        <v>2</v>
      </c>
      <c r="G6" s="40"/>
      <c r="H6" s="18">
        <v>5000</v>
      </c>
      <c r="I6" s="7">
        <f>H6/SUM(H5:H6)</f>
        <v>0.33333333333333331</v>
      </c>
    </row>
    <row r="7" spans="1:14" ht="18" customHeight="1" x14ac:dyDescent="0.25">
      <c r="B7" s="10" t="s">
        <v>24</v>
      </c>
      <c r="C7" s="39"/>
      <c r="D7" s="39"/>
      <c r="E7" s="3"/>
      <c r="F7" s="4"/>
      <c r="H7" s="1"/>
      <c r="N7" s="3" t="s">
        <v>7</v>
      </c>
    </row>
    <row r="8" spans="1:14" ht="18" customHeight="1" x14ac:dyDescent="0.25">
      <c r="B8" s="10" t="s">
        <v>5</v>
      </c>
      <c r="C8" s="39">
        <v>5</v>
      </c>
      <c r="D8" s="39"/>
      <c r="E8" s="3"/>
      <c r="F8" s="40" t="s">
        <v>3</v>
      </c>
      <c r="G8" s="40"/>
      <c r="H8" s="18">
        <v>12000</v>
      </c>
      <c r="I8" s="8">
        <f>H8/SUM(H5:H6)</f>
        <v>0.8</v>
      </c>
      <c r="N8" s="3" t="s">
        <v>18</v>
      </c>
    </row>
    <row r="9" spans="1:14" ht="18" customHeight="1" x14ac:dyDescent="0.25">
      <c r="B9" s="10" t="s">
        <v>12</v>
      </c>
      <c r="C9" s="39"/>
      <c r="D9" s="39"/>
      <c r="E9" s="3"/>
      <c r="F9" s="3"/>
      <c r="H9" s="3"/>
      <c r="I9" s="3"/>
      <c r="J9" s="3"/>
      <c r="N9" s="3" t="s">
        <v>19</v>
      </c>
    </row>
    <row r="10" spans="1:14" x14ac:dyDescent="0.25">
      <c r="B10" s="4"/>
      <c r="C10" s="4"/>
      <c r="D10" s="3"/>
      <c r="E10" s="3"/>
      <c r="F10" s="3"/>
      <c r="G10" s="3"/>
      <c r="H10" s="3"/>
      <c r="I10" s="3"/>
    </row>
    <row r="11" spans="1:14" x14ac:dyDescent="0.25">
      <c r="B11" s="4"/>
      <c r="C11" s="4"/>
      <c r="D11" s="3"/>
      <c r="E11" s="3"/>
      <c r="F11" s="3"/>
      <c r="G11" s="3"/>
      <c r="H11" s="3"/>
      <c r="I11" s="3"/>
      <c r="N11" s="5" t="s">
        <v>17</v>
      </c>
    </row>
    <row r="12" spans="1:14" x14ac:dyDescent="0.25">
      <c r="B12" s="36" t="s">
        <v>28</v>
      </c>
      <c r="C12" s="36"/>
      <c r="D12" s="36"/>
      <c r="E12" s="36"/>
      <c r="F12" s="36"/>
      <c r="G12" s="36"/>
      <c r="H12" s="36"/>
      <c r="I12" s="36"/>
      <c r="J12" s="36"/>
      <c r="N12" s="5" t="s">
        <v>10</v>
      </c>
    </row>
    <row r="13" spans="1:14" ht="4.5" customHeight="1" x14ac:dyDescent="0.25">
      <c r="A13" s="3"/>
      <c r="B13" s="3"/>
      <c r="C13" s="3"/>
      <c r="D13" s="3"/>
      <c r="E13" s="3"/>
      <c r="F13" s="3"/>
      <c r="G13" s="3"/>
      <c r="H13" s="3"/>
      <c r="I13" s="3"/>
      <c r="N13" s="5"/>
    </row>
    <row r="14" spans="1:14" s="13" customFormat="1" ht="25.2" x14ac:dyDescent="0.3">
      <c r="D14" s="14" t="s">
        <v>0</v>
      </c>
      <c r="E14" s="15" t="s">
        <v>29</v>
      </c>
      <c r="F14" s="14" t="s">
        <v>6</v>
      </c>
      <c r="G14" s="14" t="s">
        <v>25</v>
      </c>
      <c r="H14" s="14" t="s">
        <v>26</v>
      </c>
      <c r="I14" s="14" t="s">
        <v>30</v>
      </c>
      <c r="J14" s="14" t="s">
        <v>31</v>
      </c>
      <c r="N14" s="16" t="s">
        <v>11</v>
      </c>
    </row>
    <row r="15" spans="1:14" ht="14.4" x14ac:dyDescent="0.3">
      <c r="B15" s="11" t="s">
        <v>27</v>
      </c>
      <c r="C15" s="12">
        <f>IF(C8="","",1)</f>
        <v>1</v>
      </c>
      <c r="D15" s="9">
        <v>10</v>
      </c>
      <c r="E15" s="9">
        <f>21-D15</f>
        <v>11</v>
      </c>
      <c r="F15" s="17">
        <v>500</v>
      </c>
      <c r="G15" s="17">
        <v>250</v>
      </c>
      <c r="H15" s="17">
        <v>180</v>
      </c>
      <c r="I15" s="17">
        <f>SUM(F15:H15)</f>
        <v>930</v>
      </c>
      <c r="J15" s="21">
        <f>(E15*12)*I15</f>
        <v>122760</v>
      </c>
      <c r="N15" s="5" t="s">
        <v>13</v>
      </c>
    </row>
    <row r="16" spans="1:14" ht="14.4" x14ac:dyDescent="0.3">
      <c r="B16" s="11" t="s">
        <v>27</v>
      </c>
      <c r="C16" s="12">
        <f>IF(C8&gt;C15,C15+1,"")</f>
        <v>2</v>
      </c>
      <c r="D16" s="9">
        <v>15</v>
      </c>
      <c r="E16" s="9">
        <f>21-D16</f>
        <v>6</v>
      </c>
      <c r="F16" s="17">
        <v>500</v>
      </c>
      <c r="G16" s="17">
        <v>250</v>
      </c>
      <c r="H16" s="17">
        <v>180</v>
      </c>
      <c r="I16" s="17">
        <f t="shared" ref="I16:I19" si="0">SUM(F16:H16)</f>
        <v>930</v>
      </c>
      <c r="J16" s="21">
        <f t="shared" ref="J16:J19" si="1">(E16*12)*I16</f>
        <v>66960</v>
      </c>
      <c r="N16" s="5" t="s">
        <v>14</v>
      </c>
    </row>
    <row r="17" spans="2:14" ht="14.4" x14ac:dyDescent="0.3">
      <c r="B17" s="11" t="s">
        <v>27</v>
      </c>
      <c r="C17" s="12">
        <f>IF($C$8&gt;C16,C16+1,"")</f>
        <v>3</v>
      </c>
      <c r="D17" s="9">
        <v>7</v>
      </c>
      <c r="E17" s="9">
        <f>21-D17</f>
        <v>14</v>
      </c>
      <c r="F17" s="17">
        <v>500</v>
      </c>
      <c r="G17" s="17">
        <v>250</v>
      </c>
      <c r="H17" s="17">
        <v>180</v>
      </c>
      <c r="I17" s="17">
        <f t="shared" si="0"/>
        <v>930</v>
      </c>
      <c r="J17" s="21">
        <f t="shared" si="1"/>
        <v>156240</v>
      </c>
      <c r="N17" s="5" t="s">
        <v>15</v>
      </c>
    </row>
    <row r="18" spans="2:14" ht="14.4" x14ac:dyDescent="0.3">
      <c r="B18" s="11" t="s">
        <v>27</v>
      </c>
      <c r="C18" s="12">
        <f>IF($C$8&gt;C17,C17+1,"")</f>
        <v>4</v>
      </c>
      <c r="D18" s="9">
        <v>4</v>
      </c>
      <c r="E18" s="9">
        <f t="shared" ref="E18:E19" si="2">21-D18</f>
        <v>17</v>
      </c>
      <c r="F18" s="17">
        <v>500</v>
      </c>
      <c r="G18" s="17">
        <v>250</v>
      </c>
      <c r="H18" s="17">
        <v>180</v>
      </c>
      <c r="I18" s="17">
        <f t="shared" si="0"/>
        <v>930</v>
      </c>
      <c r="J18" s="21">
        <f t="shared" si="1"/>
        <v>189720</v>
      </c>
      <c r="N18" s="5" t="s">
        <v>16</v>
      </c>
    </row>
    <row r="19" spans="2:14" ht="14.4" x14ac:dyDescent="0.3">
      <c r="B19" s="11" t="s">
        <v>27</v>
      </c>
      <c r="C19" s="12">
        <f t="shared" ref="C19" si="3">IF($C$8&gt;C18,C18+1,"")</f>
        <v>5</v>
      </c>
      <c r="D19" s="9">
        <v>2</v>
      </c>
      <c r="E19" s="9">
        <f t="shared" si="2"/>
        <v>19</v>
      </c>
      <c r="F19" s="17">
        <v>500</v>
      </c>
      <c r="G19" s="17">
        <v>250</v>
      </c>
      <c r="H19" s="17">
        <v>180</v>
      </c>
      <c r="I19" s="17">
        <f t="shared" si="0"/>
        <v>930</v>
      </c>
      <c r="J19" s="21">
        <f t="shared" si="1"/>
        <v>212040</v>
      </c>
      <c r="N19" s="4"/>
    </row>
    <row r="20" spans="2:14" x14ac:dyDescent="0.25">
      <c r="B20" s="2"/>
      <c r="C20" s="4"/>
      <c r="D20" s="3"/>
      <c r="E20" s="3"/>
      <c r="F20" s="3"/>
      <c r="G20" s="3"/>
      <c r="H20" s="3"/>
      <c r="I20" s="3"/>
      <c r="N20" s="1"/>
    </row>
    <row r="21" spans="2:14" ht="14.4" x14ac:dyDescent="0.3">
      <c r="B21" s="2"/>
      <c r="C21" s="4"/>
      <c r="D21" s="3"/>
      <c r="E21" s="3"/>
      <c r="F21" s="3"/>
      <c r="G21" s="3"/>
      <c r="H21" s="37"/>
      <c r="I21" s="37"/>
      <c r="J21" s="20">
        <f>SUM(J15:J19)</f>
        <v>747720</v>
      </c>
    </row>
    <row r="22" spans="2:14" x14ac:dyDescent="0.25">
      <c r="B22" s="2"/>
      <c r="C22" s="4"/>
      <c r="D22" s="3"/>
      <c r="E22" s="3"/>
      <c r="F22" s="3"/>
      <c r="G22" s="3"/>
      <c r="H22" s="3"/>
      <c r="I22" s="3"/>
    </row>
    <row r="23" spans="2:14" x14ac:dyDescent="0.25">
      <c r="B23" s="2"/>
      <c r="C23" s="4"/>
      <c r="D23" s="3"/>
      <c r="E23" s="3"/>
      <c r="F23" s="3"/>
      <c r="G23" s="3"/>
      <c r="H23" s="3"/>
      <c r="I23" s="3"/>
    </row>
    <row r="24" spans="2:14" x14ac:dyDescent="0.25">
      <c r="B24" s="2"/>
      <c r="C24" s="4"/>
      <c r="D24" s="3"/>
      <c r="E24" s="3"/>
      <c r="F24" s="3"/>
      <c r="G24" s="3"/>
      <c r="H24" s="3"/>
      <c r="I24" s="3"/>
    </row>
    <row r="25" spans="2:14" x14ac:dyDescent="0.25">
      <c r="B25" s="2"/>
      <c r="C25" s="4"/>
      <c r="D25" s="3"/>
      <c r="E25" s="3"/>
      <c r="F25" s="3"/>
      <c r="G25" s="3"/>
      <c r="H25" s="3"/>
      <c r="I25" s="3"/>
    </row>
    <row r="26" spans="2:14" x14ac:dyDescent="0.25">
      <c r="C26" s="4"/>
      <c r="D26" s="3"/>
      <c r="E26" s="3"/>
      <c r="F26" s="3"/>
      <c r="G26" s="3"/>
      <c r="H26" s="3"/>
      <c r="I26" s="3"/>
    </row>
  </sheetData>
  <mergeCells count="12">
    <mergeCell ref="B12:J12"/>
    <mergeCell ref="H21:I21"/>
    <mergeCell ref="B2:J2"/>
    <mergeCell ref="C4:D4"/>
    <mergeCell ref="C5:D5"/>
    <mergeCell ref="C7:D7"/>
    <mergeCell ref="C6:D6"/>
    <mergeCell ref="C8:D8"/>
    <mergeCell ref="F5:G5"/>
    <mergeCell ref="F6:G6"/>
    <mergeCell ref="F8:G8"/>
    <mergeCell ref="C9:D9"/>
  </mergeCells>
  <conditionalFormatting sqref="D15:D19">
    <cfRule type="colorScale" priority="2">
      <colorScale>
        <cfvo type="min"/>
        <cfvo type="max"/>
        <color rgb="FFFFEF9C"/>
        <color rgb="FF63BE7B"/>
      </colorScale>
    </cfRule>
  </conditionalFormatting>
  <conditionalFormatting sqref="E15:E19">
    <cfRule type="colorScale" priority="1">
      <colorScale>
        <cfvo type="min"/>
        <cfvo type="max"/>
        <color rgb="FF63BE7B"/>
        <color rgb="FFFFEF9C"/>
      </colorScale>
    </cfRule>
  </conditionalFormatting>
  <conditionalFormatting sqref="I5:I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7EC36-FA20-4EAE-8E09-539D326F85E2}">
  <sheetPr codeName="Planilha2"/>
  <dimension ref="B1:XFD46"/>
  <sheetViews>
    <sheetView showGridLines="0" tabSelected="1" zoomScaleNormal="100" workbookViewId="0">
      <pane ySplit="4" topLeftCell="A5" activePane="bottomLeft" state="frozen"/>
      <selection pane="bottomLeft" activeCell="L3" sqref="L3"/>
    </sheetView>
  </sheetViews>
  <sheetFormatPr defaultColWidth="0" defaultRowHeight="13.8" zeroHeight="1" outlineLevelRow="1" x14ac:dyDescent="0.3"/>
  <cols>
    <col min="1" max="1" width="1.6640625" style="22" customWidth="1"/>
    <col min="2" max="2" width="19" style="22" customWidth="1"/>
    <col min="3" max="3" width="2.6640625" style="22" customWidth="1"/>
    <col min="4" max="4" width="19" style="22" customWidth="1"/>
    <col min="5" max="5" width="1.5546875" style="22" customWidth="1"/>
    <col min="6" max="6" width="19" style="22" customWidth="1"/>
    <col min="7" max="7" width="1.5546875" style="22" customWidth="1"/>
    <col min="8" max="8" width="19" style="22" customWidth="1"/>
    <col min="9" max="9" width="16.109375" style="22" bestFit="1" customWidth="1"/>
    <col min="10" max="10" width="15.88671875" style="22" customWidth="1"/>
    <col min="11" max="11" width="1.44140625" style="22" customWidth="1"/>
    <col min="12" max="12" width="13.5546875" style="22" customWidth="1"/>
    <col min="13" max="13" width="1.44140625" style="22" customWidth="1"/>
    <col min="14" max="14" width="13.5546875" style="22" customWidth="1"/>
    <col min="15" max="15" width="2.6640625" style="22" customWidth="1"/>
    <col min="16" max="16" width="13.5546875" style="22" customWidth="1"/>
    <col min="17" max="16383" width="9.109375" style="22" hidden="1"/>
    <col min="16384" max="16384" width="2.109375" style="22" customWidth="1"/>
  </cols>
  <sheetData>
    <row r="1" spans="2:16" s="48" customFormat="1" ht="40.5" customHeight="1" x14ac:dyDescent="0.3">
      <c r="B1" s="47" t="s">
        <v>54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</row>
    <row r="2" spans="2:16" x14ac:dyDescent="0.3"/>
    <row r="3" spans="2:16" x14ac:dyDescent="0.3">
      <c r="B3" s="23" t="s">
        <v>51</v>
      </c>
      <c r="D3" s="42" t="s">
        <v>59</v>
      </c>
      <c r="E3" s="43"/>
      <c r="F3" s="44"/>
    </row>
    <row r="4" spans="2:16" ht="15" customHeight="1" x14ac:dyDescent="0.3">
      <c r="B4" s="24"/>
    </row>
    <row r="5" spans="2:16" s="46" customFormat="1" ht="19.2" customHeight="1" x14ac:dyDescent="0.3">
      <c r="B5" s="62" t="s">
        <v>47</v>
      </c>
      <c r="C5" s="62"/>
      <c r="D5" s="62"/>
      <c r="E5" s="62"/>
      <c r="F5" s="62"/>
      <c r="G5" s="62"/>
      <c r="H5" s="62"/>
      <c r="I5" s="59"/>
      <c r="J5" s="59"/>
      <c r="K5" s="59"/>
      <c r="L5" s="59"/>
      <c r="M5" s="59"/>
      <c r="N5" s="59"/>
      <c r="O5" s="59"/>
      <c r="P5" s="59"/>
    </row>
    <row r="6" spans="2:16" x14ac:dyDescent="0.3"/>
    <row r="7" spans="2:16" x14ac:dyDescent="0.3">
      <c r="J7" s="56" t="s">
        <v>49</v>
      </c>
      <c r="K7" s="56"/>
      <c r="L7" s="56"/>
      <c r="M7" s="56"/>
      <c r="N7" s="56"/>
    </row>
    <row r="8" spans="2:16" ht="14.4" thickBot="1" x14ac:dyDescent="0.35">
      <c r="B8" s="45" t="s">
        <v>21</v>
      </c>
      <c r="C8" s="45"/>
      <c r="D8" s="45"/>
      <c r="F8" s="45" t="s">
        <v>21</v>
      </c>
      <c r="G8" s="45"/>
      <c r="H8" s="45"/>
      <c r="J8" s="24" t="s">
        <v>50</v>
      </c>
      <c r="K8" s="24"/>
      <c r="L8" s="24" t="s">
        <v>38</v>
      </c>
      <c r="N8" s="24" t="s">
        <v>61</v>
      </c>
      <c r="O8" s="24"/>
    </row>
    <row r="9" spans="2:16" ht="14.4" thickBot="1" x14ac:dyDescent="0.35">
      <c r="B9" s="42" t="s">
        <v>60</v>
      </c>
      <c r="C9" s="43"/>
      <c r="D9" s="44"/>
      <c r="F9" s="42"/>
      <c r="G9" s="43"/>
      <c r="H9" s="44"/>
      <c r="J9" s="53">
        <f>(((N9-B12)*12)*D12)+(((N9-F12)*12)*H12)+(((N9-B18)*12)*D18)+(((N9-F18)*12)*H18)</f>
        <v>324000</v>
      </c>
      <c r="K9" s="30"/>
      <c r="L9" s="54">
        <f>J9/($J$9+$J$25+$J$35)</f>
        <v>0.60845070422535208</v>
      </c>
      <c r="M9" s="30"/>
      <c r="N9" s="55">
        <v>20</v>
      </c>
      <c r="P9" s="33" t="s">
        <v>52</v>
      </c>
    </row>
    <row r="10" spans="2:16" ht="6" customHeight="1" x14ac:dyDescent="0.3"/>
    <row r="11" spans="2:16" ht="13.5" customHeight="1" x14ac:dyDescent="0.3">
      <c r="B11" s="25" t="s">
        <v>22</v>
      </c>
      <c r="D11" s="25" t="s">
        <v>48</v>
      </c>
      <c r="F11" s="25" t="s">
        <v>22</v>
      </c>
      <c r="H11" s="25" t="s">
        <v>48</v>
      </c>
    </row>
    <row r="12" spans="2:16" ht="13.8" customHeight="1" x14ac:dyDescent="0.3">
      <c r="B12" s="26">
        <v>2</v>
      </c>
      <c r="D12" s="27">
        <v>1500</v>
      </c>
      <c r="F12" s="26"/>
      <c r="H12" s="27"/>
      <c r="J12" s="60" t="s">
        <v>55</v>
      </c>
      <c r="K12" s="60"/>
      <c r="L12" s="60"/>
      <c r="M12" s="60"/>
      <c r="N12" s="60"/>
      <c r="O12" s="60"/>
      <c r="P12" s="60"/>
    </row>
    <row r="13" spans="2:16" ht="6" customHeight="1" x14ac:dyDescent="0.3">
      <c r="J13" s="60"/>
      <c r="K13" s="60"/>
      <c r="L13" s="60"/>
      <c r="M13" s="60"/>
      <c r="N13" s="60"/>
      <c r="O13" s="60"/>
      <c r="P13" s="60"/>
    </row>
    <row r="14" spans="2:16" ht="13.8" hidden="1" customHeight="1" outlineLevel="1" x14ac:dyDescent="0.3">
      <c r="B14" s="45" t="s">
        <v>21</v>
      </c>
      <c r="C14" s="45"/>
      <c r="D14" s="45"/>
      <c r="F14" s="45" t="s">
        <v>21</v>
      </c>
      <c r="G14" s="45"/>
      <c r="H14" s="45"/>
      <c r="J14" s="60"/>
      <c r="K14" s="60"/>
      <c r="L14" s="60"/>
      <c r="M14" s="60"/>
      <c r="N14" s="60"/>
      <c r="O14" s="60"/>
      <c r="P14" s="60"/>
    </row>
    <row r="15" spans="2:16" ht="13.8" hidden="1" customHeight="1" outlineLevel="1" x14ac:dyDescent="0.3">
      <c r="B15" s="42"/>
      <c r="C15" s="43"/>
      <c r="D15" s="44"/>
      <c r="F15" s="42"/>
      <c r="G15" s="43"/>
      <c r="H15" s="44"/>
      <c r="J15" s="60"/>
      <c r="K15" s="60"/>
      <c r="L15" s="60"/>
      <c r="M15" s="60"/>
      <c r="N15" s="60"/>
      <c r="O15" s="60"/>
      <c r="P15" s="60"/>
    </row>
    <row r="16" spans="2:16" ht="6" hidden="1" customHeight="1" outlineLevel="1" x14ac:dyDescent="0.3">
      <c r="J16" s="60"/>
      <c r="K16" s="60"/>
      <c r="L16" s="60"/>
      <c r="M16" s="60"/>
      <c r="N16" s="60"/>
      <c r="O16" s="60"/>
      <c r="P16" s="60"/>
    </row>
    <row r="17" spans="2:16" ht="13.5" hidden="1" customHeight="1" outlineLevel="1" x14ac:dyDescent="0.3">
      <c r="B17" s="25" t="s">
        <v>22</v>
      </c>
      <c r="D17" s="25" t="s">
        <v>48</v>
      </c>
      <c r="F17" s="25" t="s">
        <v>22</v>
      </c>
      <c r="H17" s="25" t="s">
        <v>48</v>
      </c>
      <c r="J17" s="60"/>
      <c r="K17" s="60"/>
      <c r="L17" s="60"/>
      <c r="M17" s="60"/>
      <c r="N17" s="60"/>
      <c r="O17" s="60"/>
      <c r="P17" s="60"/>
    </row>
    <row r="18" spans="2:16" ht="13.8" hidden="1" customHeight="1" outlineLevel="1" x14ac:dyDescent="0.3">
      <c r="B18" s="26"/>
      <c r="D18" s="27"/>
      <c r="F18" s="26"/>
      <c r="H18" s="27"/>
      <c r="J18" s="60"/>
      <c r="K18" s="60"/>
      <c r="L18" s="60"/>
      <c r="M18" s="60"/>
      <c r="N18" s="60"/>
      <c r="O18" s="60"/>
      <c r="P18" s="60"/>
    </row>
    <row r="19" spans="2:16" collapsed="1" x14ac:dyDescent="0.3">
      <c r="J19" s="60"/>
      <c r="K19" s="60"/>
      <c r="L19" s="60"/>
      <c r="M19" s="60"/>
      <c r="N19" s="60"/>
      <c r="O19" s="60"/>
      <c r="P19" s="60"/>
    </row>
    <row r="20" spans="2:16" x14ac:dyDescent="0.3"/>
    <row r="21" spans="2:16" s="46" customFormat="1" ht="19.2" customHeight="1" x14ac:dyDescent="0.3">
      <c r="B21" s="62" t="s">
        <v>32</v>
      </c>
      <c r="C21" s="62"/>
      <c r="D21" s="62"/>
      <c r="E21" s="62"/>
      <c r="F21" s="62"/>
      <c r="G21" s="62"/>
      <c r="H21" s="62"/>
      <c r="I21" s="59"/>
      <c r="J21" s="59"/>
      <c r="K21" s="59"/>
      <c r="L21" s="59"/>
      <c r="M21" s="59"/>
      <c r="N21" s="59"/>
      <c r="O21" s="59"/>
      <c r="P21" s="59"/>
    </row>
    <row r="22" spans="2:16" x14ac:dyDescent="0.3"/>
    <row r="23" spans="2:16" x14ac:dyDescent="0.3">
      <c r="J23" s="58" t="s">
        <v>36</v>
      </c>
      <c r="K23" s="58"/>
      <c r="L23" s="58"/>
      <c r="M23" s="58"/>
      <c r="N23" s="58"/>
    </row>
    <row r="24" spans="2:16" ht="14.4" thickBot="1" x14ac:dyDescent="0.35">
      <c r="B24" s="24" t="s">
        <v>35</v>
      </c>
      <c r="C24" s="24"/>
      <c r="D24" s="24" t="s">
        <v>33</v>
      </c>
      <c r="E24" s="24"/>
      <c r="F24" s="24" t="s">
        <v>34</v>
      </c>
      <c r="G24" s="24"/>
      <c r="H24" s="24" t="s">
        <v>58</v>
      </c>
      <c r="J24" s="24" t="s">
        <v>37</v>
      </c>
      <c r="K24" s="24"/>
      <c r="L24" s="24" t="s">
        <v>38</v>
      </c>
      <c r="N24" s="24" t="s">
        <v>39</v>
      </c>
      <c r="O24" s="24"/>
    </row>
    <row r="25" spans="2:16" ht="14.4" thickBot="1" x14ac:dyDescent="0.35">
      <c r="B25" s="28">
        <v>5000</v>
      </c>
      <c r="D25" s="28" t="s">
        <v>62</v>
      </c>
      <c r="F25" s="28">
        <v>7000</v>
      </c>
      <c r="H25" s="28">
        <f>B25+F25</f>
        <v>12000</v>
      </c>
      <c r="J25" s="51">
        <f>(B25)*(N25*12)</f>
        <v>180000</v>
      </c>
      <c r="L25" s="49">
        <f>J25/($J$9+$J$25+$J$35)</f>
        <v>0.3380281690140845</v>
      </c>
      <c r="N25" s="50">
        <v>3</v>
      </c>
      <c r="P25" s="33" t="s">
        <v>52</v>
      </c>
    </row>
    <row r="26" spans="2:16" x14ac:dyDescent="0.3">
      <c r="B26" s="31">
        <f>IFERROR(B25/SUM(B25+F25),0)</f>
        <v>0.41666666666666669</v>
      </c>
      <c r="C26" s="24"/>
      <c r="D26" s="24"/>
      <c r="E26" s="24"/>
      <c r="F26" s="31">
        <f>IFERROR(F25/SUM(F25+B25),0)</f>
        <v>0.58333333333333337</v>
      </c>
    </row>
    <row r="27" spans="2:16" ht="13.8" customHeight="1" x14ac:dyDescent="0.3">
      <c r="B27" s="31"/>
      <c r="C27" s="24"/>
      <c r="D27" s="24"/>
      <c r="E27" s="24"/>
      <c r="F27" s="57"/>
      <c r="G27" s="57"/>
      <c r="H27" s="57"/>
      <c r="J27" s="60" t="s">
        <v>63</v>
      </c>
      <c r="K27" s="60"/>
      <c r="L27" s="60"/>
      <c r="M27" s="60"/>
      <c r="N27" s="60"/>
      <c r="O27" s="60"/>
      <c r="P27" s="60"/>
    </row>
    <row r="28" spans="2:16" ht="13.8" customHeight="1" x14ac:dyDescent="0.3">
      <c r="G28" s="57"/>
      <c r="H28" s="57"/>
      <c r="J28" s="60"/>
      <c r="K28" s="60"/>
      <c r="L28" s="60"/>
      <c r="M28" s="60"/>
      <c r="N28" s="60"/>
      <c r="O28" s="60"/>
      <c r="P28" s="60"/>
    </row>
    <row r="29" spans="2:16" x14ac:dyDescent="0.3">
      <c r="G29" s="57"/>
      <c r="H29" s="64"/>
      <c r="J29" s="60"/>
      <c r="K29" s="60"/>
      <c r="L29" s="60"/>
      <c r="M29" s="60"/>
      <c r="N29" s="60"/>
      <c r="O29" s="60"/>
      <c r="P29" s="60"/>
    </row>
    <row r="30" spans="2:16" x14ac:dyDescent="0.3"/>
    <row r="31" spans="2:16" s="46" customFormat="1" ht="19.2" customHeight="1" x14ac:dyDescent="0.3">
      <c r="B31" s="62" t="s">
        <v>40</v>
      </c>
      <c r="C31" s="62"/>
      <c r="D31" s="62"/>
      <c r="E31" s="62"/>
      <c r="F31" s="62"/>
      <c r="G31" s="62"/>
      <c r="H31" s="62"/>
      <c r="I31" s="59"/>
      <c r="J31" s="59"/>
      <c r="K31" s="59"/>
      <c r="L31" s="59"/>
      <c r="M31" s="59"/>
      <c r="N31" s="59"/>
      <c r="O31" s="59"/>
      <c r="P31" s="59"/>
    </row>
    <row r="32" spans="2:16" x14ac:dyDescent="0.3"/>
    <row r="33" spans="2:16" x14ac:dyDescent="0.3">
      <c r="J33" s="58" t="s">
        <v>44</v>
      </c>
      <c r="K33" s="58"/>
      <c r="L33" s="58"/>
      <c r="M33" s="58"/>
      <c r="N33" s="58"/>
    </row>
    <row r="34" spans="2:16" ht="14.4" thickBot="1" x14ac:dyDescent="0.35">
      <c r="B34" s="24" t="s">
        <v>41</v>
      </c>
      <c r="D34" s="24" t="s">
        <v>42</v>
      </c>
      <c r="F34" s="24" t="s">
        <v>43</v>
      </c>
      <c r="J34" s="24" t="s">
        <v>45</v>
      </c>
      <c r="K34" s="24"/>
      <c r="L34" s="24" t="s">
        <v>38</v>
      </c>
      <c r="N34" s="24" t="s">
        <v>46</v>
      </c>
      <c r="P34" s="22" t="s">
        <v>64</v>
      </c>
    </row>
    <row r="35" spans="2:16" ht="14.4" thickBot="1" x14ac:dyDescent="0.35">
      <c r="B35" s="28">
        <v>80000</v>
      </c>
      <c r="D35" s="28">
        <v>100000</v>
      </c>
      <c r="F35" s="28">
        <v>10000</v>
      </c>
      <c r="J35" s="51">
        <f>(B35+D35+F35)*N35</f>
        <v>28500</v>
      </c>
      <c r="L35" s="49">
        <f>J35/($J$9+$J$25+$J$35)</f>
        <v>5.3521126760563378E-2</v>
      </c>
      <c r="N35" s="52">
        <v>0.15</v>
      </c>
      <c r="P35" s="33" t="s">
        <v>53</v>
      </c>
    </row>
    <row r="36" spans="2:16" x14ac:dyDescent="0.3"/>
    <row r="37" spans="2:16" ht="13.8" customHeight="1" x14ac:dyDescent="0.3">
      <c r="J37" s="60" t="s">
        <v>56</v>
      </c>
      <c r="K37" s="60"/>
      <c r="L37" s="60"/>
      <c r="M37" s="60"/>
      <c r="N37" s="60"/>
      <c r="O37" s="60"/>
      <c r="P37" s="60"/>
    </row>
    <row r="38" spans="2:16" x14ac:dyDescent="0.3">
      <c r="J38" s="60"/>
      <c r="K38" s="60"/>
      <c r="L38" s="60"/>
      <c r="M38" s="60"/>
      <c r="N38" s="60"/>
      <c r="O38" s="60"/>
      <c r="P38" s="60"/>
    </row>
    <row r="39" spans="2:16" x14ac:dyDescent="0.3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</row>
    <row r="40" spans="2:16" x14ac:dyDescent="0.3"/>
    <row r="41" spans="2:16" x14ac:dyDescent="0.3">
      <c r="D41" s="35" t="s">
        <v>49</v>
      </c>
      <c r="E41" s="32"/>
      <c r="F41" s="34">
        <f>J9</f>
        <v>324000</v>
      </c>
      <c r="G41" s="63" t="str">
        <f>P9</f>
        <v>temporária</v>
      </c>
      <c r="H41" s="63"/>
      <c r="I41" s="61" t="s">
        <v>57</v>
      </c>
      <c r="J41" s="61"/>
      <c r="K41" s="41">
        <f>SUM(F41:F43)</f>
        <v>532500</v>
      </c>
      <c r="L41" s="41"/>
      <c r="M41" s="41"/>
      <c r="N41" s="41"/>
    </row>
    <row r="42" spans="2:16" x14ac:dyDescent="0.3">
      <c r="D42" s="35" t="s">
        <v>36</v>
      </c>
      <c r="E42" s="32"/>
      <c r="F42" s="34">
        <f>J25</f>
        <v>180000</v>
      </c>
      <c r="G42" s="63" t="str">
        <f>P25</f>
        <v>temporária</v>
      </c>
      <c r="H42" s="63"/>
      <c r="I42" s="61"/>
      <c r="J42" s="61"/>
      <c r="K42" s="41"/>
      <c r="L42" s="41"/>
      <c r="M42" s="41"/>
      <c r="N42" s="41"/>
    </row>
    <row r="43" spans="2:16" x14ac:dyDescent="0.3">
      <c r="D43" s="35" t="s">
        <v>44</v>
      </c>
      <c r="E43" s="32"/>
      <c r="F43" s="34">
        <f>J35</f>
        <v>28500</v>
      </c>
      <c r="G43" s="63" t="str">
        <f>P35</f>
        <v>Vida Inteira</v>
      </c>
      <c r="H43" s="63"/>
    </row>
    <row r="44" spans="2:16" x14ac:dyDescent="0.3"/>
    <row r="45" spans="2:16" x14ac:dyDescent="0.3"/>
    <row r="46" spans="2:16" ht="16.5" customHeight="1" x14ac:dyDescent="0.3"/>
  </sheetData>
  <mergeCells count="24">
    <mergeCell ref="J37:P38"/>
    <mergeCell ref="B21:H21"/>
    <mergeCell ref="B31:H31"/>
    <mergeCell ref="K41:N42"/>
    <mergeCell ref="J23:N23"/>
    <mergeCell ref="J33:N33"/>
    <mergeCell ref="J7:N7"/>
    <mergeCell ref="B9:D9"/>
    <mergeCell ref="B8:D8"/>
    <mergeCell ref="F8:H8"/>
    <mergeCell ref="F9:H9"/>
    <mergeCell ref="J27:P29"/>
    <mergeCell ref="J12:P19"/>
    <mergeCell ref="B5:H5"/>
    <mergeCell ref="D3:F3"/>
    <mergeCell ref="B14:D14"/>
    <mergeCell ref="F14:H14"/>
    <mergeCell ref="B15:D15"/>
    <mergeCell ref="F15:H15"/>
    <mergeCell ref="B1:P1"/>
    <mergeCell ref="I41:J42"/>
    <mergeCell ref="G41:H41"/>
    <mergeCell ref="G42:H42"/>
    <mergeCell ref="G43:H43"/>
  </mergeCells>
  <dataValidations count="1">
    <dataValidation type="list" allowBlank="1" showInputMessage="1" showErrorMessage="1" sqref="P9 P25 P35" xr:uid="{8634ECCD-D7EA-4108-8EF5-F296F7A9DC7E}">
      <formula1>"Temporário,Vida Inteira"</formula1>
    </dataValidation>
  </dataValidations>
  <pageMargins left="0.39370078740157483" right="0" top="0" bottom="0" header="0.31496062992125984" footer="0"/>
  <pageSetup paperSize="9" scale="85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B00EF894-F9C5-4ED6-8BF2-DABEEC86A63C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F26 B26:B27 F27:H27 G28:H29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VIDAS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Guimarães</dc:creator>
  <cp:lastModifiedBy>Stephany Guimarães</cp:lastModifiedBy>
  <cp:lastPrinted>2025-11-24T02:10:45Z</cp:lastPrinted>
  <dcterms:created xsi:type="dcterms:W3CDTF">2025-01-12T19:26:03Z</dcterms:created>
  <dcterms:modified xsi:type="dcterms:W3CDTF">2025-11-24T02:35:23Z</dcterms:modified>
</cp:coreProperties>
</file>