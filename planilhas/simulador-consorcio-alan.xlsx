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ecd90314f6056f/Desktop/Ster/Ensina Banco/"/>
    </mc:Choice>
  </mc:AlternateContent>
  <xr:revisionPtr revIDLastSave="70" documentId="8_{DFBD8E16-12E7-4F82-B27A-A5F21710F8FE}" xr6:coauthVersionLast="47" xr6:coauthVersionMax="47" xr10:uidLastSave="{9D999F9D-B111-4EF5-9DD1-F0508BE4471D}"/>
  <bookViews>
    <workbookView xWindow="-108" yWindow="-108" windowWidth="23256" windowHeight="12456" xr2:uid="{C8D472D2-69B1-4836-AFDF-29FF3E06A5A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F20" i="1"/>
  <c r="F9" i="1"/>
  <c r="F6" i="1"/>
  <c r="F8" i="1" s="1"/>
  <c r="F7" i="1" l="1"/>
  <c r="C17" i="1" l="1"/>
  <c r="F22" i="1" s="1"/>
  <c r="F26" i="1" l="1"/>
  <c r="C22" i="1" l="1"/>
  <c r="C26" i="1"/>
  <c r="C27" i="1" s="1"/>
  <c r="F12" i="1"/>
  <c r="F11" i="1"/>
</calcChain>
</file>

<file path=xl/sharedStrings.xml><?xml version="1.0" encoding="utf-8"?>
<sst xmlns="http://schemas.openxmlformats.org/spreadsheetml/2006/main" count="28" uniqueCount="28">
  <si>
    <t>Valor do Bem</t>
  </si>
  <si>
    <t>Prazo (meses)</t>
  </si>
  <si>
    <t>Taxa de adm</t>
  </si>
  <si>
    <t>% Fundo de Reserva</t>
  </si>
  <si>
    <t>% de Seguro de Vida (a/m)</t>
  </si>
  <si>
    <t>Parcelas do Plano</t>
  </si>
  <si>
    <t>Fundo Comum</t>
  </si>
  <si>
    <t>Taxa de Adm</t>
  </si>
  <si>
    <t>Fundo de Reserva</t>
  </si>
  <si>
    <t>Seguro de Vida</t>
  </si>
  <si>
    <t>Total PMT c/ Seguro</t>
  </si>
  <si>
    <t>Total PMT s/ Seguro</t>
  </si>
  <si>
    <t>Lances</t>
  </si>
  <si>
    <t>Qtd Parcelas Pagas</t>
  </si>
  <si>
    <t>Base para Lance</t>
  </si>
  <si>
    <t>Lance Embutido: (%)</t>
  </si>
  <si>
    <t>Valor Lance:</t>
  </si>
  <si>
    <t>Valor Lance Emb:</t>
  </si>
  <si>
    <t>Valor Lance Total: (R$)</t>
  </si>
  <si>
    <t>Crédito Disponível</t>
  </si>
  <si>
    <t>Amortização de Prestação</t>
  </si>
  <si>
    <t>OU</t>
  </si>
  <si>
    <t>Diminuição de Prazo</t>
  </si>
  <si>
    <t>Nova PMT s/ Seguro</t>
  </si>
  <si>
    <t>Novo Prazo (meses)</t>
  </si>
  <si>
    <t>Nova PMT c/ Seguro</t>
  </si>
  <si>
    <t>Lance Recurso Próprios: (%)</t>
  </si>
  <si>
    <t>Simulador de Consórcio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</si>
</sst>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_(&quot;R$&quot;* #,##0.00_);_(&quot;R$&quot;* \(#,##0.00\);_(&quot;R$&quot;* &quot;-&quot;??_);_(@_)"/>
    <numFmt numFmtId="165" formatCode="0.0000%"/>
    <numFmt numFmtId="166" formatCode="&quot;R$&quot;#,##0.00"/>
    <numFmt numFmtId="167" formatCode="_-[$R$-416]\ * #,##0.00_-;\-[$R$-416]\ * #,##0.00_-;_-[$R$-416]\ * &quot;-&quot;??_-;_-@_-"/>
    <numFmt numFmtId="168" formatCode="0.000%"/>
    <numFmt numFmtId="169" formatCode="_-&quot;R$&quot;\ * #,##0.0000_-;\-&quot;R$&quot;\ * #,##0.0000_-;_-&quot;R$&quot;\ * &quot;-&quot;??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26"/>
      <color theme="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2" fillId="0" borderId="4" xfId="0" applyFont="1" applyBorder="1" applyAlignment="1" applyProtection="1">
      <alignment vertical="center"/>
      <protection hidden="1"/>
    </xf>
    <xf numFmtId="164" fontId="2" fillId="2" borderId="0" xfId="0" applyNumberFormat="1" applyFont="1" applyFill="1" applyAlignment="1" applyProtection="1">
      <alignment horizontal="center" vertical="center"/>
      <protection locked="0" hidden="1"/>
    </xf>
    <xf numFmtId="0" fontId="2" fillId="2" borderId="0" xfId="0" applyFont="1" applyFill="1" applyAlignment="1" applyProtection="1">
      <alignment horizontal="center" vertical="center"/>
      <protection locked="0" hidden="1"/>
    </xf>
    <xf numFmtId="10" fontId="2" fillId="2" borderId="0" xfId="1" applyNumberFormat="1" applyFont="1" applyFill="1" applyBorder="1" applyAlignment="1" applyProtection="1">
      <alignment horizontal="center" vertical="center"/>
      <protection locked="0" hidden="1"/>
    </xf>
    <xf numFmtId="10" fontId="2" fillId="3" borderId="0" xfId="1" applyNumberFormat="1" applyFont="1" applyFill="1" applyBorder="1" applyAlignment="1" applyProtection="1">
      <alignment horizontal="center" vertical="center"/>
      <protection hidden="1"/>
    </xf>
    <xf numFmtId="165" fontId="2" fillId="3" borderId="0" xfId="1" applyNumberFormat="1" applyFont="1" applyFill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vertical="center"/>
      <protection hidden="1"/>
    </xf>
    <xf numFmtId="0" fontId="2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164" fontId="2" fillId="0" borderId="5" xfId="0" applyNumberFormat="1" applyFont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166" fontId="2" fillId="0" borderId="0" xfId="0" applyNumberFormat="1" applyFont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2" fillId="0" borderId="6" xfId="0" applyFont="1" applyBorder="1" applyAlignment="1" applyProtection="1">
      <alignment vertical="center"/>
      <protection hidden="1"/>
    </xf>
    <xf numFmtId="168" fontId="2" fillId="0" borderId="7" xfId="1" applyNumberFormat="1" applyFont="1" applyFill="1" applyBorder="1" applyAlignment="1" applyProtection="1">
      <alignment horizontal="center" vertical="center"/>
      <protection hidden="1"/>
    </xf>
    <xf numFmtId="166" fontId="2" fillId="0" borderId="7" xfId="0" applyNumberFormat="1" applyFont="1" applyBorder="1" applyAlignment="1" applyProtection="1">
      <alignment vertical="center"/>
      <protection hidden="1"/>
    </xf>
    <xf numFmtId="164" fontId="2" fillId="0" borderId="0" xfId="0" applyNumberFormat="1" applyFont="1" applyAlignment="1" applyProtection="1">
      <alignment vertical="center"/>
      <protection hidden="1"/>
    </xf>
    <xf numFmtId="37" fontId="2" fillId="2" borderId="2" xfId="0" applyNumberFormat="1" applyFont="1" applyFill="1" applyBorder="1" applyAlignment="1" applyProtection="1">
      <alignment horizontal="center" vertical="center"/>
      <protection locked="0" hidden="1"/>
    </xf>
    <xf numFmtId="164" fontId="2" fillId="0" borderId="0" xfId="0" applyNumberFormat="1" applyFont="1" applyAlignment="1" applyProtection="1">
      <alignment horizontal="center" vertical="center"/>
      <protection hidden="1"/>
    </xf>
    <xf numFmtId="9" fontId="2" fillId="2" borderId="0" xfId="1" applyFont="1" applyFill="1" applyBorder="1" applyAlignment="1" applyProtection="1">
      <alignment horizontal="center" vertical="center"/>
      <protection locked="0" hidden="1"/>
    </xf>
    <xf numFmtId="9" fontId="2" fillId="2" borderId="5" xfId="1" applyFont="1" applyFill="1" applyBorder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hidden="1"/>
    </xf>
    <xf numFmtId="164" fontId="2" fillId="0" borderId="7" xfId="0" applyNumberFormat="1" applyFont="1" applyBorder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vertical="center"/>
      <protection hidden="1"/>
    </xf>
    <xf numFmtId="164" fontId="2" fillId="0" borderId="8" xfId="0" applyNumberFormat="1" applyFont="1" applyBorder="1" applyAlignment="1" applyProtection="1">
      <alignment horizontal="center" vertical="center"/>
      <protection hidden="1"/>
    </xf>
    <xf numFmtId="1" fontId="2" fillId="0" borderId="8" xfId="0" applyNumberFormat="1" applyFont="1" applyBorder="1" applyAlignment="1" applyProtection="1">
      <alignment horizontal="center" vertical="center"/>
      <protection hidden="1"/>
    </xf>
    <xf numFmtId="44" fontId="0" fillId="0" borderId="0" xfId="0" applyNumberFormat="1" applyAlignment="1">
      <alignment vertical="center"/>
    </xf>
    <xf numFmtId="169" fontId="0" fillId="0" borderId="0" xfId="0" applyNumberFormat="1" applyAlignment="1">
      <alignment vertical="center"/>
    </xf>
    <xf numFmtId="0" fontId="4" fillId="5" borderId="0" xfId="0" applyFont="1" applyFill="1" applyAlignment="1" applyProtection="1">
      <alignment vertical="center"/>
      <protection hidden="1"/>
    </xf>
    <xf numFmtId="167" fontId="4" fillId="5" borderId="5" xfId="0" applyNumberFormat="1" applyFont="1" applyFill="1" applyBorder="1" applyAlignment="1" applyProtection="1">
      <alignment horizontal="center" vertical="center"/>
      <protection hidden="1"/>
    </xf>
    <xf numFmtId="0" fontId="4" fillId="5" borderId="7" xfId="0" applyFont="1" applyFill="1" applyBorder="1" applyAlignment="1" applyProtection="1">
      <alignment vertical="center"/>
      <protection hidden="1"/>
    </xf>
    <xf numFmtId="167" fontId="4" fillId="5" borderId="8" xfId="0" applyNumberFormat="1" applyFont="1" applyFill="1" applyBorder="1" applyAlignment="1" applyProtection="1">
      <alignment horizontal="center" vertical="center"/>
      <protection hidden="1"/>
    </xf>
    <xf numFmtId="0" fontId="6" fillId="5" borderId="9" xfId="0" applyFont="1" applyFill="1" applyBorder="1" applyAlignment="1" applyProtection="1">
      <alignment horizontal="center" vertical="center"/>
      <protection hidden="1"/>
    </xf>
    <xf numFmtId="0" fontId="6" fillId="5" borderId="10" xfId="0" applyFont="1" applyFill="1" applyBorder="1" applyAlignment="1" applyProtection="1">
      <alignment horizontal="center" vertical="center"/>
      <protection hidden="1"/>
    </xf>
    <xf numFmtId="0" fontId="6" fillId="5" borderId="11" xfId="0" applyFont="1" applyFill="1" applyBorder="1" applyAlignment="1" applyProtection="1">
      <alignment horizontal="center" vertical="center"/>
      <protection hidden="1"/>
    </xf>
    <xf numFmtId="166" fontId="6" fillId="5" borderId="9" xfId="0" applyNumberFormat="1" applyFont="1" applyFill="1" applyBorder="1" applyAlignment="1" applyProtection="1">
      <alignment horizontal="center" vertical="center"/>
      <protection hidden="1"/>
    </xf>
    <xf numFmtId="166" fontId="6" fillId="5" borderId="10" xfId="0" applyNumberFormat="1" applyFont="1" applyFill="1" applyBorder="1" applyAlignment="1" applyProtection="1">
      <alignment horizontal="center" vertical="center"/>
      <protection hidden="1"/>
    </xf>
    <xf numFmtId="166" fontId="6" fillId="5" borderId="11" xfId="0" applyNumberFormat="1" applyFont="1" applyFill="1" applyBorder="1" applyAlignment="1" applyProtection="1">
      <alignment horizontal="center" vertical="center"/>
      <protection hidden="1"/>
    </xf>
    <xf numFmtId="0" fontId="3" fillId="0" borderId="9" xfId="0" applyFont="1" applyBorder="1" applyAlignment="1" applyProtection="1">
      <alignment horizontal="center" vertical="center"/>
      <protection hidden="1"/>
    </xf>
    <xf numFmtId="0" fontId="3" fillId="0" borderId="11" xfId="0" applyFont="1" applyBorder="1" applyAlignment="1" applyProtection="1">
      <alignment horizontal="center" vertical="center"/>
      <protection hidden="1"/>
    </xf>
    <xf numFmtId="0" fontId="5" fillId="4" borderId="9" xfId="0" applyFont="1" applyFill="1" applyBorder="1" applyAlignment="1" applyProtection="1">
      <alignment horizontal="center" vertical="center"/>
      <protection hidden="1"/>
    </xf>
    <xf numFmtId="0" fontId="5" fillId="4" borderId="10" xfId="0" applyFont="1" applyFill="1" applyBorder="1" applyAlignment="1" applyProtection="1">
      <alignment horizontal="center" vertical="center"/>
      <protection hidden="1"/>
    </xf>
    <xf numFmtId="0" fontId="5" fillId="4" borderId="11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77CBB-D4EB-47EC-8CF4-E89D4C1A415C}">
  <dimension ref="B1:I27"/>
  <sheetViews>
    <sheetView showGridLines="0" tabSelected="1"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25" sqref="I25"/>
    </sheetView>
  </sheetViews>
  <sheetFormatPr defaultRowHeight="14.4" x14ac:dyDescent="0.3"/>
  <cols>
    <col min="1" max="1" width="0.6640625" style="1" customWidth="1"/>
    <col min="2" max="2" width="29.77734375" style="1" customWidth="1"/>
    <col min="3" max="6" width="23.21875" style="1" customWidth="1"/>
    <col min="7" max="8" width="8.88671875" style="1"/>
    <col min="9" max="9" width="10.33203125" style="1" bestFit="1" customWidth="1"/>
    <col min="10" max="16384" width="8.88671875" style="1"/>
  </cols>
  <sheetData>
    <row r="1" spans="2:9" ht="5.4" customHeight="1" thickBot="1" x14ac:dyDescent="0.35"/>
    <row r="2" spans="2:9" ht="37.200000000000003" customHeight="1" thickBot="1" x14ac:dyDescent="0.35">
      <c r="B2" s="43" t="s">
        <v>27</v>
      </c>
      <c r="C2" s="44"/>
      <c r="D2" s="44"/>
      <c r="E2" s="44"/>
      <c r="F2" s="45"/>
    </row>
    <row r="3" spans="2:9" ht="5.4" customHeight="1" thickBot="1" x14ac:dyDescent="0.35"/>
    <row r="4" spans="2:9" ht="27" customHeight="1" thickBot="1" x14ac:dyDescent="0.35">
      <c r="B4" s="35" t="s">
        <v>5</v>
      </c>
      <c r="C4" s="36"/>
      <c r="D4" s="36"/>
      <c r="E4" s="36"/>
      <c r="F4" s="37"/>
    </row>
    <row r="5" spans="2:9" ht="15" x14ac:dyDescent="0.3">
      <c r="B5" s="8"/>
      <c r="C5" s="9"/>
      <c r="D5" s="9"/>
      <c r="E5" s="9"/>
      <c r="F5" s="10"/>
    </row>
    <row r="6" spans="2:9" ht="18" customHeight="1" x14ac:dyDescent="0.3">
      <c r="B6" s="2" t="s">
        <v>0</v>
      </c>
      <c r="C6" s="3">
        <v>18704</v>
      </c>
      <c r="D6" s="11"/>
      <c r="E6" s="11" t="s">
        <v>6</v>
      </c>
      <c r="F6" s="12">
        <f>C6/C7</f>
        <v>346.37037037037038</v>
      </c>
    </row>
    <row r="7" spans="2:9" ht="18" customHeight="1" x14ac:dyDescent="0.3">
      <c r="B7" s="2" t="s">
        <v>1</v>
      </c>
      <c r="C7" s="4">
        <v>54</v>
      </c>
      <c r="D7" s="11"/>
      <c r="E7" s="11" t="s">
        <v>7</v>
      </c>
      <c r="F7" s="12">
        <f>F6*C8</f>
        <v>103.91111111111111</v>
      </c>
    </row>
    <row r="8" spans="2:9" ht="18" customHeight="1" x14ac:dyDescent="0.3">
      <c r="B8" s="2" t="s">
        <v>2</v>
      </c>
      <c r="C8" s="5">
        <v>0.3</v>
      </c>
      <c r="D8" s="11"/>
      <c r="E8" s="11" t="s">
        <v>8</v>
      </c>
      <c r="F8" s="12">
        <f>F6*C9</f>
        <v>6.9274074074074079</v>
      </c>
    </row>
    <row r="9" spans="2:9" ht="18" customHeight="1" x14ac:dyDescent="0.3">
      <c r="B9" s="2" t="s">
        <v>3</v>
      </c>
      <c r="C9" s="6">
        <v>0.02</v>
      </c>
      <c r="D9" s="11"/>
      <c r="E9" s="11" t="s">
        <v>9</v>
      </c>
      <c r="F9" s="12">
        <f>C6*C10</f>
        <v>20.780144</v>
      </c>
    </row>
    <row r="10" spans="2:9" ht="18" customHeight="1" x14ac:dyDescent="0.3">
      <c r="B10" s="2" t="s">
        <v>4</v>
      </c>
      <c r="C10" s="7">
        <v>1.111E-3</v>
      </c>
      <c r="D10" s="11"/>
      <c r="E10" s="11"/>
      <c r="F10" s="13"/>
    </row>
    <row r="11" spans="2:9" ht="18" customHeight="1" x14ac:dyDescent="0.3">
      <c r="B11" s="2"/>
      <c r="C11" s="11"/>
      <c r="D11" s="14"/>
      <c r="E11" s="31" t="s">
        <v>10</v>
      </c>
      <c r="F11" s="32">
        <f>SUM(F6:F9)</f>
        <v>477.98903288888891</v>
      </c>
    </row>
    <row r="12" spans="2:9" ht="18" customHeight="1" thickBot="1" x14ac:dyDescent="0.35">
      <c r="B12" s="16"/>
      <c r="C12" s="17"/>
      <c r="D12" s="18"/>
      <c r="E12" s="33" t="s">
        <v>11</v>
      </c>
      <c r="F12" s="34">
        <f>SUM(F6:F8)</f>
        <v>457.20888888888891</v>
      </c>
      <c r="I12" s="29"/>
    </row>
    <row r="13" spans="2:9" ht="15" x14ac:dyDescent="0.3">
      <c r="B13" s="11"/>
      <c r="C13" s="11"/>
      <c r="D13" s="11"/>
      <c r="E13" s="11"/>
      <c r="F13" s="11"/>
      <c r="I13" s="29"/>
    </row>
    <row r="14" spans="2:9" ht="15.6" thickBot="1" x14ac:dyDescent="0.35">
      <c r="B14" s="11"/>
      <c r="C14" s="19"/>
      <c r="D14" s="11"/>
      <c r="E14" s="11"/>
      <c r="F14" s="11"/>
      <c r="I14" s="29"/>
    </row>
    <row r="15" spans="2:9" ht="25.8" customHeight="1" thickBot="1" x14ac:dyDescent="0.35">
      <c r="B15" s="38" t="s">
        <v>12</v>
      </c>
      <c r="C15" s="39"/>
      <c r="D15" s="39"/>
      <c r="E15" s="39"/>
      <c r="F15" s="40"/>
      <c r="I15" s="29"/>
    </row>
    <row r="16" spans="2:9" ht="15" x14ac:dyDescent="0.3">
      <c r="B16" s="8" t="s">
        <v>13</v>
      </c>
      <c r="C16" s="20">
        <v>1</v>
      </c>
      <c r="D16" s="9"/>
      <c r="E16" s="9"/>
      <c r="F16" s="10"/>
      <c r="I16" s="30"/>
    </row>
    <row r="17" spans="2:6" ht="15" x14ac:dyDescent="0.3">
      <c r="B17" s="2" t="s">
        <v>14</v>
      </c>
      <c r="C17" s="21">
        <f>(C6*(C8+C9))+C6</f>
        <v>24689.279999999999</v>
      </c>
      <c r="D17" s="11"/>
      <c r="E17" s="11"/>
      <c r="F17" s="13"/>
    </row>
    <row r="18" spans="2:6" ht="9" customHeight="1" x14ac:dyDescent="0.3">
      <c r="B18" s="2"/>
      <c r="C18" s="21"/>
      <c r="D18" s="11"/>
      <c r="E18" s="11"/>
      <c r="F18" s="13"/>
    </row>
    <row r="19" spans="2:6" ht="15" x14ac:dyDescent="0.3">
      <c r="B19" s="2" t="s">
        <v>26</v>
      </c>
      <c r="C19" s="22"/>
      <c r="D19" s="11"/>
      <c r="E19" s="11" t="s">
        <v>15</v>
      </c>
      <c r="F19" s="23">
        <v>0.15</v>
      </c>
    </row>
    <row r="20" spans="2:6" ht="15" x14ac:dyDescent="0.3">
      <c r="B20" s="2" t="s">
        <v>16</v>
      </c>
      <c r="C20" s="21">
        <f>C6*C19</f>
        <v>0</v>
      </c>
      <c r="D20" s="11"/>
      <c r="E20" s="11" t="s">
        <v>17</v>
      </c>
      <c r="F20" s="12">
        <f>C6*F19</f>
        <v>2805.6</v>
      </c>
    </row>
    <row r="21" spans="2:6" ht="15.6" x14ac:dyDescent="0.3">
      <c r="B21" s="2"/>
      <c r="C21" s="24"/>
      <c r="D21" s="11"/>
      <c r="E21" s="15"/>
      <c r="F21" s="13"/>
    </row>
    <row r="22" spans="2:6" ht="15.6" thickBot="1" x14ac:dyDescent="0.35">
      <c r="B22" s="16" t="s">
        <v>18</v>
      </c>
      <c r="C22" s="25">
        <f>C20+F20</f>
        <v>2805.6</v>
      </c>
      <c r="D22" s="26"/>
      <c r="E22" s="26" t="s">
        <v>19</v>
      </c>
      <c r="F22" s="27">
        <f>C6-F20</f>
        <v>15898.4</v>
      </c>
    </row>
    <row r="23" spans="2:6" ht="15" x14ac:dyDescent="0.3">
      <c r="B23" s="11"/>
      <c r="C23" s="21"/>
      <c r="D23" s="11"/>
      <c r="E23" s="11"/>
      <c r="F23" s="21"/>
    </row>
    <row r="24" spans="2:6" ht="15.6" thickBot="1" x14ac:dyDescent="0.35">
      <c r="B24" s="11"/>
      <c r="C24" s="21"/>
      <c r="D24" s="11"/>
      <c r="E24" s="11"/>
      <c r="F24" s="21"/>
    </row>
    <row r="25" spans="2:6" ht="18" thickBot="1" x14ac:dyDescent="0.35">
      <c r="B25" s="41" t="s">
        <v>20</v>
      </c>
      <c r="C25" s="42"/>
      <c r="D25" s="24" t="s">
        <v>21</v>
      </c>
      <c r="E25" s="41" t="s">
        <v>22</v>
      </c>
      <c r="F25" s="42"/>
    </row>
    <row r="26" spans="2:6" ht="15.6" thickBot="1" x14ac:dyDescent="0.35">
      <c r="B26" s="16" t="s">
        <v>23</v>
      </c>
      <c r="C26" s="27">
        <f>ROUND((C6-(F6*C16)-C20-F20)/(C7-C16)+F7+F8,2)</f>
        <v>404.27</v>
      </c>
      <c r="D26" s="11"/>
      <c r="E26" s="16" t="s">
        <v>24</v>
      </c>
      <c r="F26" s="28">
        <f>IFERROR(C7 - C16 - QUOTIENT(C20+F20,F6+F7+F8),"")</f>
        <v>47</v>
      </c>
    </row>
    <row r="27" spans="2:6" ht="15.6" thickBot="1" x14ac:dyDescent="0.35">
      <c r="B27" s="16" t="s">
        <v>25</v>
      </c>
      <c r="C27" s="27">
        <f>ROUND(C26+F9,2)</f>
        <v>425.05</v>
      </c>
      <c r="D27" s="11"/>
      <c r="E27" s="11"/>
      <c r="F27" s="11"/>
    </row>
  </sheetData>
  <mergeCells count="5">
    <mergeCell ref="B4:F4"/>
    <mergeCell ref="B15:F15"/>
    <mergeCell ref="B25:C25"/>
    <mergeCell ref="E25:F25"/>
    <mergeCell ref="B2:F2"/>
  </mergeCells>
  <dataValidations count="1">
    <dataValidation type="custom" allowBlank="1" showInputMessage="1" showErrorMessage="1" errorTitle="Lance Embutido" error="Não é permitido um percentual de lance embutido maior que 30%!" sqref="F19" xr:uid="{D926EBEB-0521-4E0D-B90F-D13C87B50393}">
      <formula1>F19&lt;30.1%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Stephany Guimarães</dc:creator>
  <cp:lastModifiedBy>Stephany Guimarães</cp:lastModifiedBy>
  <dcterms:created xsi:type="dcterms:W3CDTF">2025-09-26T00:42:49Z</dcterms:created>
  <dcterms:modified xsi:type="dcterms:W3CDTF">2026-05-13T03:17:46Z</dcterms:modified>
</cp:coreProperties>
</file>