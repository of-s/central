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17ecd90314f6056f/Desktop/"/>
    </mc:Choice>
  </mc:AlternateContent>
  <xr:revisionPtr revIDLastSave="0" documentId="8_{2BD55AE3-3F9A-4B28-997E-AB0785967950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Simulador" sheetId="14" r:id="rId1"/>
  </sheets>
  <definedNames>
    <definedName name="_xlnm.Print_Area" localSheetId="0">Simulador!$A$1:$H$34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4" l="1"/>
  <c r="G15" i="14"/>
  <c r="E13" i="14"/>
  <c r="E17" i="14" l="1"/>
  <c r="E5" i="14" s="1"/>
  <c r="G17" i="14" l="1"/>
  <c r="E19" i="14"/>
  <c r="E24" i="14" l="1"/>
  <c r="E25" i="14" s="1"/>
  <c r="E21" i="14"/>
  <c r="E22" i="14" s="1"/>
</calcChain>
</file>

<file path=xl/sharedStrings.xml><?xml version="1.0" encoding="utf-8"?>
<sst xmlns="http://schemas.openxmlformats.org/spreadsheetml/2006/main" count="32" uniqueCount="32">
  <si>
    <t>Valor do Bem</t>
  </si>
  <si>
    <t>Valor da Parcela Inicial</t>
  </si>
  <si>
    <t>Embutido - Em %</t>
  </si>
  <si>
    <t>Recursos Próprios - Em R$</t>
  </si>
  <si>
    <t>Lance</t>
  </si>
  <si>
    <t>Valor diluído</t>
  </si>
  <si>
    <t>Qtde Parcelas a Pagar</t>
  </si>
  <si>
    <t>Qtde Parcelas Reduzidas</t>
  </si>
  <si>
    <t>Taxa Administração Total</t>
  </si>
  <si>
    <t>Taxa Fundo de Reserva</t>
  </si>
  <si>
    <t>Reduzindo Prazo
(de trás para frente)</t>
  </si>
  <si>
    <t>Valor Próxima Parcela</t>
  </si>
  <si>
    <t xml:space="preserve">Reduzindo Parcelas </t>
  </si>
  <si>
    <t>Total:</t>
  </si>
  <si>
    <t>Valor da carta + taxas</t>
  </si>
  <si>
    <t>Taxas</t>
  </si>
  <si>
    <t>Informações da carta</t>
  </si>
  <si>
    <t>Valor total</t>
  </si>
  <si>
    <t>Após contemplar:</t>
  </si>
  <si>
    <t xml:space="preserve">Prazo Duração </t>
  </si>
  <si>
    <t>Crédito a Retirar (caso contemplado)</t>
  </si>
  <si>
    <r>
      <rPr>
        <b/>
        <sz val="10"/>
        <rFont val="Arial"/>
        <family val="2"/>
      </rPr>
      <t>TAXA DE ADMINISTRAÇÃO (TA):</t>
    </r>
    <r>
      <rPr>
        <sz val="10"/>
        <rFont val="Arial"/>
        <family val="2"/>
      </rPr>
      <t xml:space="preserve"> É a remuneração da administradora pelos serviços prestados pela formação, organização e administração do grupo de consórcio até o encerramento deste.</t>
    </r>
  </si>
  <si>
    <r>
      <rPr>
        <b/>
        <sz val="10"/>
        <rFont val="Arial"/>
        <family val="2"/>
      </rPr>
      <t>FUNDO DE RESERVA (FR):</t>
    </r>
    <r>
      <rPr>
        <sz val="10"/>
        <rFont val="Arial"/>
        <family val="2"/>
      </rPr>
      <t xml:space="preserve"> É um fundo destinado a garantir o funcionamento do grupo.</t>
    </r>
  </si>
  <si>
    <r>
      <rPr>
        <b/>
        <sz val="10"/>
        <rFont val="Arial"/>
        <family val="2"/>
      </rPr>
      <t xml:space="preserve">LANCE EMBUTIDO: </t>
    </r>
    <r>
      <rPr>
        <sz val="10"/>
        <rFont val="Arial"/>
        <family val="2"/>
      </rPr>
      <t>O consorciado antecipa o pagamento de parcelas utilizando parte do próprio crédito.</t>
    </r>
  </si>
  <si>
    <r>
      <rPr>
        <b/>
        <sz val="10"/>
        <rFont val="Arial"/>
        <family val="2"/>
      </rPr>
      <t xml:space="preserve">LANCE COM RECURSOS PRÓPRIOS: </t>
    </r>
    <r>
      <rPr>
        <sz val="10"/>
        <rFont val="Arial"/>
        <family val="2"/>
      </rPr>
      <t>O consorciado utiliza suas próprias economias para adiantar determinado número de parcelas.</t>
    </r>
  </si>
  <si>
    <t>Grupo:</t>
  </si>
  <si>
    <t>Seu lance:</t>
  </si>
  <si>
    <t>Média Max. Lance:</t>
  </si>
  <si>
    <t>Proteção</t>
  </si>
  <si>
    <t>Seguro</t>
  </si>
  <si>
    <r>
      <rPr>
        <b/>
        <sz val="10"/>
        <rFont val="Arial"/>
        <family val="2"/>
      </rPr>
      <t>O que é Consórcio?</t>
    </r>
    <r>
      <rPr>
        <sz val="10"/>
        <rFont val="Arial"/>
        <family val="2"/>
      </rPr>
      <t xml:space="preserve">
O consórcio é um dos produtos financeiros mais tradicionais do Brasil. Ele pode ser definido como um grupo de pessoas querendo comprar um bem de valor parecido. Você se junta a pessoas que desejam um mesmo bem: pode ser carro, casa, moto e até caminhão.
Todo mês você paga uma parcela e acontecem sorteios que definem quem já poderá receber sua carta de crédito para comprar o bem. Você também pode dar lances para aumentar suas chances de contemplação. Até o fim do período do grupo, todos os membros serão contemplados.
Se você deseja se planejar para comprar um bem de valor mais alto, sem pagar juros e sem precisar dar entrada.</t>
    </r>
  </si>
  <si>
    <t>Simulador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</si>
</sst>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&quot;R$&quot;\ #,##0.00"/>
    <numFmt numFmtId="166" formatCode="&quot;R$&quot;\ #,##0"/>
    <numFmt numFmtId="167" formatCode="0.0%"/>
  </numFmts>
  <fonts count="1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8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98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7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 wrapText="1" indent="1"/>
      <protection hidden="1"/>
    </xf>
    <xf numFmtId="164" fontId="1" fillId="0" borderId="0" xfId="93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165" fontId="1" fillId="0" borderId="0" xfId="0" applyNumberFormat="1" applyFont="1" applyAlignment="1" applyProtection="1">
      <alignment vertical="center"/>
      <protection hidden="1"/>
    </xf>
    <xf numFmtId="167" fontId="11" fillId="3" borderId="0" xfId="0" applyNumberFormat="1" applyFont="1" applyFill="1" applyAlignment="1" applyProtection="1">
      <alignment horizontal="center" vertical="center"/>
      <protection hidden="1"/>
    </xf>
    <xf numFmtId="165" fontId="9" fillId="0" borderId="2" xfId="97" applyNumberFormat="1" applyFont="1" applyFill="1" applyBorder="1" applyAlignment="1" applyProtection="1">
      <alignment horizontal="center" vertical="center" wrapText="1"/>
      <protection hidden="1"/>
    </xf>
    <xf numFmtId="166" fontId="9" fillId="0" borderId="2" xfId="97" applyNumberFormat="1" applyFont="1" applyFill="1" applyBorder="1" applyAlignment="1" applyProtection="1">
      <alignment horizontal="center" vertical="center" wrapText="1"/>
      <protection hidden="1"/>
    </xf>
    <xf numFmtId="10" fontId="9" fillId="0" borderId="2" xfId="90" applyNumberFormat="1" applyFont="1" applyFill="1" applyBorder="1" applyAlignment="1" applyProtection="1">
      <alignment horizontal="center" vertical="center" wrapText="1"/>
      <protection hidden="1"/>
    </xf>
    <xf numFmtId="165" fontId="9" fillId="0" borderId="2" xfId="0" applyNumberFormat="1" applyFont="1" applyBorder="1" applyAlignment="1" applyProtection="1">
      <alignment horizontal="center" vertical="center" wrapText="1"/>
      <protection hidden="1"/>
    </xf>
    <xf numFmtId="165" fontId="1" fillId="0" borderId="2" xfId="0" applyNumberFormat="1" applyFont="1" applyBorder="1" applyAlignment="1" applyProtection="1">
      <alignment horizontal="center" vertical="center" wrapText="1"/>
      <protection hidden="1"/>
    </xf>
    <xf numFmtId="1" fontId="1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locked="0" hidden="1"/>
    </xf>
    <xf numFmtId="165" fontId="11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0" fontId="1" fillId="2" borderId="2" xfId="0" applyFont="1" applyFill="1" applyBorder="1" applyAlignment="1" applyProtection="1">
      <alignment horizontal="center" vertical="center" wrapText="1"/>
      <protection locked="0" hidden="1"/>
    </xf>
    <xf numFmtId="165" fontId="1" fillId="2" borderId="2" xfId="97" applyNumberFormat="1" applyFont="1" applyFill="1" applyBorder="1" applyAlignment="1" applyProtection="1">
      <alignment horizontal="center" vertical="center" wrapText="1"/>
      <protection locked="0" hidden="1"/>
    </xf>
    <xf numFmtId="9" fontId="1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65" fontId="1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0" fontId="9" fillId="2" borderId="2" xfId="90" applyNumberFormat="1" applyFont="1" applyFill="1" applyBorder="1" applyAlignment="1" applyProtection="1">
      <alignment horizontal="center" vertical="center" wrapText="1"/>
      <protection locked="0" hidden="1"/>
    </xf>
    <xf numFmtId="166" fontId="9" fillId="2" borderId="2" xfId="93" applyNumberFormat="1" applyFont="1" applyFill="1" applyBorder="1" applyAlignment="1" applyProtection="1">
      <alignment horizontal="center" vertical="center" wrapText="1"/>
      <protection locked="0" hidden="1"/>
    </xf>
    <xf numFmtId="0" fontId="10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vertical="center"/>
      <protection hidden="1"/>
    </xf>
    <xf numFmtId="0" fontId="13" fillId="4" borderId="2" xfId="0" applyFont="1" applyFill="1" applyBorder="1" applyAlignment="1" applyProtection="1">
      <alignment horizontal="center" vertical="center" wrapText="1"/>
      <protection hidden="1"/>
    </xf>
    <xf numFmtId="0" fontId="9" fillId="4" borderId="2" xfId="0" applyFont="1" applyFill="1" applyBorder="1" applyAlignment="1" applyProtection="1">
      <alignment horizontal="center" vertical="center" wrapText="1"/>
      <protection hidden="1"/>
    </xf>
    <xf numFmtId="0" fontId="9" fillId="4" borderId="0" xfId="0" applyFont="1" applyFill="1" applyAlignment="1" applyProtection="1">
      <alignment horizontal="center" vertical="center" wrapText="1"/>
      <protection hidden="1"/>
    </xf>
    <xf numFmtId="0" fontId="9" fillId="5" borderId="2" xfId="0" applyFont="1" applyFill="1" applyBorder="1" applyAlignment="1" applyProtection="1">
      <alignment horizontal="center" vertical="center" wrapText="1"/>
      <protection hidden="1"/>
    </xf>
    <xf numFmtId="166" fontId="9" fillId="5" borderId="2" xfId="97" applyNumberFormat="1" applyFont="1" applyFill="1" applyBorder="1" applyAlignment="1" applyProtection="1">
      <alignment horizontal="center" vertical="center" wrapText="1"/>
      <protection hidden="1"/>
    </xf>
    <xf numFmtId="10" fontId="9" fillId="5" borderId="2" xfId="90" applyNumberFormat="1" applyFont="1" applyFill="1" applyBorder="1" applyAlignment="1" applyProtection="1">
      <alignment horizontal="center" vertical="center" wrapText="1"/>
      <protection hidden="1"/>
    </xf>
    <xf numFmtId="166" fontId="9" fillId="5" borderId="2" xfId="93" applyNumberFormat="1" applyFont="1" applyFill="1" applyBorder="1" applyAlignment="1" applyProtection="1">
      <alignment horizontal="center" vertical="center" wrapText="1"/>
      <protection hidden="1"/>
    </xf>
    <xf numFmtId="4" fontId="9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15" fillId="6" borderId="0" xfId="0" applyFont="1" applyFill="1" applyAlignment="1" applyProtection="1">
      <alignment horizontal="left" vertical="center" indent="18"/>
      <protection locked="0" hidden="1"/>
    </xf>
    <xf numFmtId="0" fontId="13" fillId="4" borderId="2" xfId="0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left" vertical="center" wrapText="1"/>
      <protection hidden="1"/>
    </xf>
    <xf numFmtId="0" fontId="1" fillId="0" borderId="1" xfId="0" applyFont="1" applyBorder="1" applyAlignment="1" applyProtection="1">
      <alignment horizontal="left" vertical="center" wrapText="1"/>
      <protection hidden="1"/>
    </xf>
  </cellXfs>
  <cellStyles count="98">
    <cellStyle name="Moeda" xfId="97" builtinId="4"/>
    <cellStyle name="Normal" xfId="0" builtinId="0"/>
    <cellStyle name="Normal 10" xfId="1" xr:uid="{00000000-0005-0000-0000-000001000000}"/>
    <cellStyle name="Normal 11" xfId="2" xr:uid="{00000000-0005-0000-0000-000002000000}"/>
    <cellStyle name="Normal 12" xfId="3" xr:uid="{00000000-0005-0000-0000-000003000000}"/>
    <cellStyle name="Normal 13" xfId="4" xr:uid="{00000000-0005-0000-0000-000004000000}"/>
    <cellStyle name="Normal 14" xfId="5" xr:uid="{00000000-0005-0000-0000-000005000000}"/>
    <cellStyle name="Normal 15" xfId="6" xr:uid="{00000000-0005-0000-0000-000006000000}"/>
    <cellStyle name="Normal 16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0" xfId="14" xr:uid="{00000000-0005-0000-0000-00000E000000}"/>
    <cellStyle name="Normal 21" xfId="15" xr:uid="{00000000-0005-0000-0000-00000F000000}"/>
    <cellStyle name="Normal 22" xfId="16" xr:uid="{00000000-0005-0000-0000-000010000000}"/>
    <cellStyle name="Normal 23" xfId="17" xr:uid="{00000000-0005-0000-0000-000011000000}"/>
    <cellStyle name="Normal 24" xfId="18" xr:uid="{00000000-0005-0000-0000-000012000000}"/>
    <cellStyle name="Normal 25" xfId="19" xr:uid="{00000000-0005-0000-0000-000013000000}"/>
    <cellStyle name="Normal 26" xfId="20" xr:uid="{00000000-0005-0000-0000-000014000000}"/>
    <cellStyle name="Normal 27" xfId="21" xr:uid="{00000000-0005-0000-0000-000015000000}"/>
    <cellStyle name="Normal 28" xfId="22" xr:uid="{00000000-0005-0000-0000-000016000000}"/>
    <cellStyle name="Normal 29" xfId="23" xr:uid="{00000000-0005-0000-0000-000017000000}"/>
    <cellStyle name="Normal 3" xfId="24" xr:uid="{00000000-0005-0000-0000-000018000000}"/>
    <cellStyle name="Normal 30" xfId="25" xr:uid="{00000000-0005-0000-0000-000019000000}"/>
    <cellStyle name="Normal 31" xfId="26" xr:uid="{00000000-0005-0000-0000-00001A000000}"/>
    <cellStyle name="Normal 32" xfId="27" xr:uid="{00000000-0005-0000-0000-00001B000000}"/>
    <cellStyle name="Normal 33" xfId="28" xr:uid="{00000000-0005-0000-0000-00001C000000}"/>
    <cellStyle name="Normal 34" xfId="29" xr:uid="{00000000-0005-0000-0000-00001D000000}"/>
    <cellStyle name="Normal 35" xfId="30" xr:uid="{00000000-0005-0000-0000-00001E000000}"/>
    <cellStyle name="Normal 36" xfId="31" xr:uid="{00000000-0005-0000-0000-00001F000000}"/>
    <cellStyle name="Normal 37" xfId="32" xr:uid="{00000000-0005-0000-0000-000020000000}"/>
    <cellStyle name="Normal 38" xfId="33" xr:uid="{00000000-0005-0000-0000-000021000000}"/>
    <cellStyle name="Normal 39" xfId="34" xr:uid="{00000000-0005-0000-0000-000022000000}"/>
    <cellStyle name="Normal 4" xfId="35" xr:uid="{00000000-0005-0000-0000-000023000000}"/>
    <cellStyle name="Normal 40" xfId="36" xr:uid="{00000000-0005-0000-0000-000024000000}"/>
    <cellStyle name="Normal 41" xfId="37" xr:uid="{00000000-0005-0000-0000-000025000000}"/>
    <cellStyle name="Normal 42" xfId="38" xr:uid="{00000000-0005-0000-0000-000026000000}"/>
    <cellStyle name="Normal 43" xfId="39" xr:uid="{00000000-0005-0000-0000-000027000000}"/>
    <cellStyle name="Normal 44" xfId="40" xr:uid="{00000000-0005-0000-0000-000028000000}"/>
    <cellStyle name="Normal 45" xfId="41" xr:uid="{00000000-0005-0000-0000-000029000000}"/>
    <cellStyle name="Normal 46" xfId="42" xr:uid="{00000000-0005-0000-0000-00002A000000}"/>
    <cellStyle name="Normal 47" xfId="43" xr:uid="{00000000-0005-0000-0000-00002B000000}"/>
    <cellStyle name="Normal 48" xfId="44" xr:uid="{00000000-0005-0000-0000-00002C000000}"/>
    <cellStyle name="Normal 49" xfId="45" xr:uid="{00000000-0005-0000-0000-00002D000000}"/>
    <cellStyle name="Normal 5" xfId="46" xr:uid="{00000000-0005-0000-0000-00002E000000}"/>
    <cellStyle name="Normal 50" xfId="47" xr:uid="{00000000-0005-0000-0000-00002F000000}"/>
    <cellStyle name="Normal 51" xfId="48" xr:uid="{00000000-0005-0000-0000-000030000000}"/>
    <cellStyle name="Normal 52" xfId="49" xr:uid="{00000000-0005-0000-0000-000031000000}"/>
    <cellStyle name="Normal 53" xfId="50" xr:uid="{00000000-0005-0000-0000-000032000000}"/>
    <cellStyle name="Normal 54" xfId="51" xr:uid="{00000000-0005-0000-0000-000033000000}"/>
    <cellStyle name="Normal 55" xfId="52" xr:uid="{00000000-0005-0000-0000-000034000000}"/>
    <cellStyle name="Normal 56" xfId="53" xr:uid="{00000000-0005-0000-0000-000035000000}"/>
    <cellStyle name="Normal 57" xfId="54" xr:uid="{00000000-0005-0000-0000-000036000000}"/>
    <cellStyle name="Normal 58" xfId="55" xr:uid="{00000000-0005-0000-0000-000037000000}"/>
    <cellStyle name="Normal 59" xfId="56" xr:uid="{00000000-0005-0000-0000-000038000000}"/>
    <cellStyle name="Normal 6" xfId="57" xr:uid="{00000000-0005-0000-0000-000039000000}"/>
    <cellStyle name="Normal 60" xfId="58" xr:uid="{00000000-0005-0000-0000-00003A000000}"/>
    <cellStyle name="Normal 61" xfId="59" xr:uid="{00000000-0005-0000-0000-00003B000000}"/>
    <cellStyle name="Normal 62" xfId="60" xr:uid="{00000000-0005-0000-0000-00003C000000}"/>
    <cellStyle name="Normal 63" xfId="61" xr:uid="{00000000-0005-0000-0000-00003D000000}"/>
    <cellStyle name="Normal 64" xfId="62" xr:uid="{00000000-0005-0000-0000-00003E000000}"/>
    <cellStyle name="Normal 65" xfId="63" xr:uid="{00000000-0005-0000-0000-00003F000000}"/>
    <cellStyle name="Normal 66" xfId="64" xr:uid="{00000000-0005-0000-0000-000040000000}"/>
    <cellStyle name="Normal 67" xfId="65" xr:uid="{00000000-0005-0000-0000-000041000000}"/>
    <cellStyle name="Normal 68" xfId="66" xr:uid="{00000000-0005-0000-0000-000042000000}"/>
    <cellStyle name="Normal 69" xfId="67" xr:uid="{00000000-0005-0000-0000-000043000000}"/>
    <cellStyle name="Normal 7" xfId="68" xr:uid="{00000000-0005-0000-0000-000044000000}"/>
    <cellStyle name="Normal 7 4" xfId="69" xr:uid="{00000000-0005-0000-0000-000045000000}"/>
    <cellStyle name="Normal 7 4 2" xfId="70" xr:uid="{00000000-0005-0000-0000-000046000000}"/>
    <cellStyle name="Normal 70" xfId="71" xr:uid="{00000000-0005-0000-0000-000047000000}"/>
    <cellStyle name="Normal 71" xfId="72" xr:uid="{00000000-0005-0000-0000-000048000000}"/>
    <cellStyle name="Normal 72" xfId="73" xr:uid="{00000000-0005-0000-0000-000049000000}"/>
    <cellStyle name="Normal 73" xfId="74" xr:uid="{00000000-0005-0000-0000-00004A000000}"/>
    <cellStyle name="Normal 74" xfId="75" xr:uid="{00000000-0005-0000-0000-00004B000000}"/>
    <cellStyle name="Normal 75" xfId="76" xr:uid="{00000000-0005-0000-0000-00004C000000}"/>
    <cellStyle name="Normal 76" xfId="77" xr:uid="{00000000-0005-0000-0000-00004D000000}"/>
    <cellStyle name="Normal 77" xfId="78" xr:uid="{00000000-0005-0000-0000-00004E000000}"/>
    <cellStyle name="Normal 78" xfId="79" xr:uid="{00000000-0005-0000-0000-00004F000000}"/>
    <cellStyle name="Normal 79" xfId="80" xr:uid="{00000000-0005-0000-0000-000050000000}"/>
    <cellStyle name="Normal 8" xfId="81" xr:uid="{00000000-0005-0000-0000-000051000000}"/>
    <cellStyle name="Normal 80" xfId="82" xr:uid="{00000000-0005-0000-0000-000052000000}"/>
    <cellStyle name="Normal 81" xfId="83" xr:uid="{00000000-0005-0000-0000-000053000000}"/>
    <cellStyle name="Normal 82" xfId="84" xr:uid="{00000000-0005-0000-0000-000054000000}"/>
    <cellStyle name="Normal 83" xfId="85" xr:uid="{00000000-0005-0000-0000-000055000000}"/>
    <cellStyle name="Normal 84" xfId="86" xr:uid="{00000000-0005-0000-0000-000056000000}"/>
    <cellStyle name="Normal 85" xfId="87" xr:uid="{00000000-0005-0000-0000-000057000000}"/>
    <cellStyle name="Normal 86" xfId="88" xr:uid="{00000000-0005-0000-0000-000058000000}"/>
    <cellStyle name="Normal 9" xfId="89" xr:uid="{00000000-0005-0000-0000-000059000000}"/>
    <cellStyle name="Porcentagem" xfId="90" builtinId="5"/>
    <cellStyle name="Porcentagem 2" xfId="91" xr:uid="{00000000-0005-0000-0000-00005B000000}"/>
    <cellStyle name="Porcentagem 3" xfId="92" xr:uid="{00000000-0005-0000-0000-00005C000000}"/>
    <cellStyle name="Vírgula" xfId="93" builtinId="3"/>
    <cellStyle name="Vírgula 2" xfId="94" xr:uid="{00000000-0005-0000-0000-00005E000000}"/>
    <cellStyle name="Vírgula 2 2" xfId="95" xr:uid="{00000000-0005-0000-0000-00005F000000}"/>
    <cellStyle name="Vírgula 3" xfId="96" xr:uid="{00000000-0005-0000-0000-000060000000}"/>
  </cellStyles>
  <dxfs count="1">
    <dxf>
      <fill>
        <gradientFill degree="90">
          <stop position="0">
            <color theme="0"/>
          </stop>
          <stop position="1">
            <color theme="4" tint="0.80001220740379042"/>
          </stop>
        </gradientFill>
      </fill>
    </dxf>
  </dxfs>
  <tableStyles count="0" defaultTableStyle="TableStyleMedium9" defaultPivotStyle="PivotStyleLight16"/>
  <colors>
    <mruColors>
      <color rgb="FFFF6600"/>
      <color rgb="FF6969D9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6</xdr:row>
      <xdr:rowOff>123825</xdr:rowOff>
    </xdr:from>
    <xdr:to>
      <xdr:col>6</xdr:col>
      <xdr:colOff>1266825</xdr:colOff>
      <xdr:row>11</xdr:row>
      <xdr:rowOff>9525</xdr:rowOff>
    </xdr:to>
    <xdr:pic>
      <xdr:nvPicPr>
        <xdr:cNvPr id="5" name="Imagem 4" descr="Vetores e ilustrações de Chave 3d para download gratuito">
          <a:extLst>
            <a:ext uri="{FF2B5EF4-FFF2-40B4-BE49-F238E27FC236}">
              <a16:creationId xmlns:a16="http://schemas.microsoft.com/office/drawing/2014/main" id="{9D9452E5-A2EC-3A04-6503-8FF5379D5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26682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1609725</xdr:colOff>
      <xdr:row>14</xdr:row>
      <xdr:rowOff>104775</xdr:rowOff>
    </xdr:from>
    <xdr:to>
      <xdr:col>4</xdr:col>
      <xdr:colOff>38100</xdr:colOff>
      <xdr:row>14</xdr:row>
      <xdr:rowOff>150494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5C1961B5-248C-B597-9387-4EA2D3322B2C}"/>
            </a:ext>
          </a:extLst>
        </xdr:cNvPr>
        <xdr:cNvSpPr/>
      </xdr:nvSpPr>
      <xdr:spPr>
        <a:xfrm>
          <a:off x="3486150" y="2809875"/>
          <a:ext cx="180975" cy="45719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6</xdr:col>
      <xdr:colOff>1304925</xdr:colOff>
      <xdr:row>15</xdr:row>
      <xdr:rowOff>95250</xdr:rowOff>
    </xdr:from>
    <xdr:to>
      <xdr:col>7</xdr:col>
      <xdr:colOff>142875</xdr:colOff>
      <xdr:row>15</xdr:row>
      <xdr:rowOff>140969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3988F729-DCF6-4ABF-BEF7-E8681AAB8FF5}"/>
            </a:ext>
          </a:extLst>
        </xdr:cNvPr>
        <xdr:cNvSpPr/>
      </xdr:nvSpPr>
      <xdr:spPr>
        <a:xfrm rot="10800000">
          <a:off x="6343650" y="3038475"/>
          <a:ext cx="180975" cy="45719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4</xdr:col>
      <xdr:colOff>123285</xdr:colOff>
      <xdr:row>1</xdr:row>
      <xdr:rowOff>131194</xdr:rowOff>
    </xdr:from>
    <xdr:to>
      <xdr:col>6</xdr:col>
      <xdr:colOff>84689</xdr:colOff>
      <xdr:row>1</xdr:row>
      <xdr:rowOff>385493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3C191E0-58B6-B8A9-CD90-0B44CC0A5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49" t="79465" r="682"/>
        <a:stretch/>
      </xdr:blipFill>
      <xdr:spPr>
        <a:xfrm>
          <a:off x="3753568" y="194095"/>
          <a:ext cx="1372182" cy="254299"/>
        </a:xfrm>
        <a:prstGeom prst="rect">
          <a:avLst/>
        </a:prstGeom>
      </xdr:spPr>
    </xdr:pic>
    <xdr:clientData/>
  </xdr:twoCellAnchor>
  <xdr:twoCellAnchor editAs="oneCell">
    <xdr:from>
      <xdr:col>6</xdr:col>
      <xdr:colOff>427005</xdr:colOff>
      <xdr:row>32</xdr:row>
      <xdr:rowOff>47720</xdr:rowOff>
    </xdr:from>
    <xdr:to>
      <xdr:col>6</xdr:col>
      <xdr:colOff>1103280</xdr:colOff>
      <xdr:row>33</xdr:row>
      <xdr:rowOff>156812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B81CD46-236F-7178-5EE7-3D1B5886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8066" y="8152956"/>
          <a:ext cx="676275" cy="270837"/>
        </a:xfrm>
        <a:prstGeom prst="rect">
          <a:avLst/>
        </a:prstGeom>
      </xdr:spPr>
    </xdr:pic>
    <xdr:clientData/>
  </xdr:twoCellAnchor>
  <xdr:twoCellAnchor editAs="oneCell">
    <xdr:from>
      <xdr:col>1</xdr:col>
      <xdr:colOff>398433</xdr:colOff>
      <xdr:row>1</xdr:row>
      <xdr:rowOff>1617</xdr:rowOff>
    </xdr:from>
    <xdr:to>
      <xdr:col>1</xdr:col>
      <xdr:colOff>1284258</xdr:colOff>
      <xdr:row>1</xdr:row>
      <xdr:rowOff>468342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97A4F57-BBAA-4FD5-29C2-D54A55BBD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08" t="33333" r="15432" b="36420"/>
        <a:stretch/>
      </xdr:blipFill>
      <xdr:spPr>
        <a:xfrm>
          <a:off x="515249" y="64518"/>
          <a:ext cx="885825" cy="466725"/>
        </a:xfrm>
        <a:prstGeom prst="rect">
          <a:avLst/>
        </a:prstGeom>
      </xdr:spPr>
    </xdr:pic>
    <xdr:clientData/>
  </xdr:twoCellAnchor>
  <xdr:twoCellAnchor editAs="oneCell">
    <xdr:from>
      <xdr:col>4</xdr:col>
      <xdr:colOff>131911</xdr:colOff>
      <xdr:row>1</xdr:row>
      <xdr:rowOff>130834</xdr:rowOff>
    </xdr:from>
    <xdr:to>
      <xdr:col>6</xdr:col>
      <xdr:colOff>93315</xdr:colOff>
      <xdr:row>1</xdr:row>
      <xdr:rowOff>385133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12FAC0B-9244-40ED-8595-EB6AD56CF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49" t="79465" r="682"/>
        <a:stretch/>
      </xdr:blipFill>
      <xdr:spPr>
        <a:xfrm>
          <a:off x="3762194" y="193735"/>
          <a:ext cx="1372182" cy="254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63DE-E92A-49CB-805C-23ACBC9F7DC4}">
  <sheetPr>
    <tabColor theme="6" tint="-0.499984740745262"/>
  </sheetPr>
  <dimension ref="A1:K34"/>
  <sheetViews>
    <sheetView showGridLines="0" tabSelected="1" zoomScale="106" zoomScaleNormal="106" workbookViewId="0">
      <pane ySplit="2" topLeftCell="A3" activePane="bottomLeft" state="frozen"/>
      <selection pane="bottomLeft" activeCell="E12" sqref="E12"/>
    </sheetView>
  </sheetViews>
  <sheetFormatPr defaultColWidth="0" defaultRowHeight="13.2" x14ac:dyDescent="0.25"/>
  <cols>
    <col min="1" max="1" width="1.6640625" style="1" customWidth="1"/>
    <col min="2" max="2" width="24.5546875" style="4" customWidth="1"/>
    <col min="3" max="3" width="1.88671875" style="1" customWidth="1"/>
    <col min="4" max="4" width="26.33203125" style="7" customWidth="1"/>
    <col min="5" max="5" width="20.33203125" style="2" customWidth="1"/>
    <col min="6" max="6" width="0.88671875" style="3" customWidth="1"/>
    <col min="7" max="7" width="20.109375" style="1" customWidth="1"/>
    <col min="8" max="8" width="2.5546875" style="3" customWidth="1"/>
    <col min="9" max="9" width="3.44140625" style="1" customWidth="1"/>
    <col min="10" max="10" width="9.109375" style="1" hidden="1" customWidth="1"/>
    <col min="11" max="11" width="11" style="1" hidden="1" customWidth="1"/>
    <col min="12" max="16384" width="9.109375" style="1" hidden="1"/>
  </cols>
  <sheetData>
    <row r="1" spans="1:11" ht="5.25" customHeight="1" x14ac:dyDescent="0.25"/>
    <row r="2" spans="1:11" s="28" customFormat="1" ht="39.75" customHeight="1" x14ac:dyDescent="0.25">
      <c r="B2" s="40" t="s">
        <v>31</v>
      </c>
      <c r="C2" s="40"/>
      <c r="D2" s="40"/>
      <c r="E2" s="40"/>
      <c r="F2" s="40"/>
      <c r="G2" s="40"/>
      <c r="H2" s="40"/>
    </row>
    <row r="3" spans="1:11" ht="4.5" customHeight="1" x14ac:dyDescent="0.25">
      <c r="B3" s="24"/>
      <c r="C3" s="25"/>
      <c r="D3" s="26"/>
      <c r="E3" s="26"/>
      <c r="F3" s="27"/>
      <c r="G3" s="25"/>
      <c r="H3" s="27"/>
    </row>
    <row r="4" spans="1:11" ht="16.5" customHeight="1" x14ac:dyDescent="0.25">
      <c r="B4" s="32" t="s">
        <v>25</v>
      </c>
      <c r="D4" s="33" t="s">
        <v>27</v>
      </c>
      <c r="E4" s="9">
        <v>0.5</v>
      </c>
      <c r="G4" s="28"/>
      <c r="H4" s="29"/>
    </row>
    <row r="5" spans="1:11" ht="16.5" customHeight="1" x14ac:dyDescent="0.25">
      <c r="B5" s="16"/>
      <c r="D5" s="33" t="s">
        <v>26</v>
      </c>
      <c r="E5" s="9">
        <f>E17</f>
        <v>0.65999999999999992</v>
      </c>
      <c r="G5" s="28"/>
      <c r="H5" s="29"/>
    </row>
    <row r="6" spans="1:11" ht="7.5" customHeight="1" x14ac:dyDescent="0.25">
      <c r="A6" s="2"/>
      <c r="B6" s="2"/>
      <c r="C6" s="2"/>
      <c r="D6" s="2"/>
      <c r="G6" s="28"/>
      <c r="H6" s="29"/>
    </row>
    <row r="7" spans="1:11" ht="19.5" customHeight="1" x14ac:dyDescent="0.25">
      <c r="B7" s="41" t="s">
        <v>16</v>
      </c>
      <c r="D7" s="5" t="s">
        <v>0</v>
      </c>
      <c r="E7" s="17">
        <v>420000</v>
      </c>
      <c r="F7" s="1"/>
      <c r="G7" s="30"/>
      <c r="H7" s="1"/>
    </row>
    <row r="8" spans="1:11" ht="16.5" customHeight="1" x14ac:dyDescent="0.25">
      <c r="B8" s="41"/>
      <c r="D8" s="5" t="s">
        <v>19</v>
      </c>
      <c r="E8" s="18">
        <v>240</v>
      </c>
      <c r="F8" s="1"/>
      <c r="H8" s="1"/>
    </row>
    <row r="9" spans="1:11" ht="16.5" customHeight="1" x14ac:dyDescent="0.25">
      <c r="B9" s="41"/>
      <c r="D9" s="5" t="s">
        <v>1</v>
      </c>
      <c r="E9" s="19">
        <v>3600</v>
      </c>
    </row>
    <row r="10" spans="1:11" ht="16.5" customHeight="1" x14ac:dyDescent="0.25">
      <c r="B10" s="42" t="s">
        <v>15</v>
      </c>
      <c r="D10" s="5" t="s">
        <v>8</v>
      </c>
      <c r="E10" s="20">
        <v>0.18</v>
      </c>
      <c r="F10" s="1"/>
      <c r="H10" s="1"/>
      <c r="K10" s="8"/>
    </row>
    <row r="11" spans="1:11" ht="16.5" customHeight="1" x14ac:dyDescent="0.25">
      <c r="B11" s="42"/>
      <c r="D11" s="5" t="s">
        <v>9</v>
      </c>
      <c r="E11" s="20">
        <v>0.02</v>
      </c>
      <c r="F11" s="1"/>
      <c r="H11" s="1"/>
    </row>
    <row r="12" spans="1:11" ht="16.5" customHeight="1" x14ac:dyDescent="0.25">
      <c r="B12" s="31" t="s">
        <v>28</v>
      </c>
      <c r="D12" s="5" t="s">
        <v>29</v>
      </c>
      <c r="E12" s="21"/>
      <c r="F12" s="1"/>
      <c r="H12" s="1"/>
    </row>
    <row r="13" spans="1:11" ht="16.5" customHeight="1" x14ac:dyDescent="0.25">
      <c r="B13" s="31" t="s">
        <v>17</v>
      </c>
      <c r="D13" s="5" t="s">
        <v>14</v>
      </c>
      <c r="E13" s="10">
        <f>E7+(E7*(E10+E11))+(E12*E8)</f>
        <v>504000</v>
      </c>
      <c r="I13" s="6"/>
    </row>
    <row r="14" spans="1:11" ht="4.5" customHeight="1" x14ac:dyDescent="0.25">
      <c r="A14" s="3"/>
      <c r="B14" s="3"/>
      <c r="C14" s="3"/>
      <c r="D14" s="3"/>
      <c r="E14" s="3"/>
      <c r="G14" s="3"/>
    </row>
    <row r="15" spans="1:11" ht="18.75" customHeight="1" x14ac:dyDescent="0.25">
      <c r="B15" s="42" t="s">
        <v>4</v>
      </c>
      <c r="D15" s="34" t="s">
        <v>2</v>
      </c>
      <c r="E15" s="22">
        <v>0.3</v>
      </c>
      <c r="G15" s="11">
        <f>E7*E15</f>
        <v>126000</v>
      </c>
    </row>
    <row r="16" spans="1:11" ht="18.75" customHeight="1" x14ac:dyDescent="0.25">
      <c r="B16" s="42"/>
      <c r="D16" s="34" t="s">
        <v>3</v>
      </c>
      <c r="E16" s="12">
        <f>G16/E7</f>
        <v>0.36</v>
      </c>
      <c r="G16" s="23">
        <v>151200</v>
      </c>
      <c r="J16" s="30"/>
    </row>
    <row r="17" spans="1:7" ht="18.75" customHeight="1" x14ac:dyDescent="0.25">
      <c r="B17" s="42"/>
      <c r="D17" s="35" t="s">
        <v>13</v>
      </c>
      <c r="E17" s="36">
        <f>E16+E15</f>
        <v>0.65999999999999992</v>
      </c>
      <c r="G17" s="37">
        <f>G15+G16</f>
        <v>277200</v>
      </c>
    </row>
    <row r="18" spans="1:7" ht="4.5" customHeight="1" x14ac:dyDescent="0.25">
      <c r="A18" s="3"/>
      <c r="B18" s="3"/>
      <c r="C18" s="3"/>
      <c r="D18" s="3"/>
      <c r="E18" s="3"/>
      <c r="G18" s="3"/>
    </row>
    <row r="19" spans="1:7" ht="31.5" customHeight="1" x14ac:dyDescent="0.25">
      <c r="B19" s="31" t="s">
        <v>18</v>
      </c>
      <c r="D19" s="34" t="s">
        <v>20</v>
      </c>
      <c r="E19" s="13">
        <f>IF(E15&gt;0,E7-G15,E7)</f>
        <v>294000</v>
      </c>
    </row>
    <row r="20" spans="1:7" ht="4.5" customHeight="1" x14ac:dyDescent="0.25">
      <c r="A20" s="3"/>
      <c r="B20" s="3"/>
      <c r="C20" s="3"/>
      <c r="D20" s="3"/>
      <c r="E20" s="3"/>
      <c r="G20" s="3"/>
    </row>
    <row r="21" spans="1:7" ht="16.5" customHeight="1" x14ac:dyDescent="0.25">
      <c r="B21" s="42" t="s">
        <v>12</v>
      </c>
      <c r="D21" s="38" t="s">
        <v>5</v>
      </c>
      <c r="E21" s="14">
        <f>G17/(E8-1)</f>
        <v>1159.8326359832636</v>
      </c>
    </row>
    <row r="22" spans="1:7" ht="16.5" customHeight="1" x14ac:dyDescent="0.25">
      <c r="B22" s="42"/>
      <c r="D22" s="38" t="s">
        <v>11</v>
      </c>
      <c r="E22" s="14">
        <f>E9-E21</f>
        <v>2440.1673640167364</v>
      </c>
    </row>
    <row r="23" spans="1:7" ht="4.5" customHeight="1" x14ac:dyDescent="0.25">
      <c r="A23" s="3"/>
      <c r="B23" s="3"/>
      <c r="C23" s="3"/>
      <c r="D23" s="3"/>
      <c r="E23" s="3"/>
      <c r="G23" s="3"/>
    </row>
    <row r="24" spans="1:7" ht="16.5" customHeight="1" x14ac:dyDescent="0.25">
      <c r="B24" s="42" t="s">
        <v>10</v>
      </c>
      <c r="D24" s="38" t="s">
        <v>7</v>
      </c>
      <c r="E24" s="15">
        <f>IFERROR(G17/E9,"0,0")</f>
        <v>77</v>
      </c>
    </row>
    <row r="25" spans="1:7" ht="16.5" customHeight="1" x14ac:dyDescent="0.25">
      <c r="B25" s="42"/>
      <c r="D25" s="38" t="s">
        <v>6</v>
      </c>
      <c r="E25" s="15">
        <f>E8-E24</f>
        <v>163</v>
      </c>
    </row>
    <row r="26" spans="1:7" ht="21" customHeight="1" x14ac:dyDescent="0.25">
      <c r="D26" s="1"/>
      <c r="E26" s="1"/>
    </row>
    <row r="27" spans="1:7" ht="28.5" customHeight="1" x14ac:dyDescent="0.25">
      <c r="B27" s="43" t="s">
        <v>21</v>
      </c>
      <c r="C27" s="43"/>
      <c r="D27" s="43"/>
      <c r="E27" s="43"/>
      <c r="F27" s="43"/>
      <c r="G27" s="43"/>
    </row>
    <row r="28" spans="1:7" ht="17.25" customHeight="1" x14ac:dyDescent="0.25">
      <c r="B28" s="44" t="s">
        <v>22</v>
      </c>
      <c r="C28" s="44"/>
      <c r="D28" s="44"/>
      <c r="E28" s="44"/>
      <c r="F28" s="44"/>
      <c r="G28" s="44"/>
    </row>
    <row r="29" spans="1:7" ht="17.25" customHeight="1" x14ac:dyDescent="0.25">
      <c r="B29" s="44" t="s">
        <v>23</v>
      </c>
      <c r="C29" s="44"/>
      <c r="D29" s="44"/>
      <c r="E29" s="44"/>
      <c r="F29" s="44"/>
      <c r="G29" s="44"/>
    </row>
    <row r="30" spans="1:7" x14ac:dyDescent="0.25">
      <c r="B30" s="43" t="s">
        <v>24</v>
      </c>
      <c r="C30" s="43"/>
      <c r="D30" s="43"/>
      <c r="E30" s="43"/>
      <c r="F30" s="43"/>
      <c r="G30" s="43"/>
    </row>
    <row r="32" spans="1:7" ht="151.5" customHeight="1" x14ac:dyDescent="0.25">
      <c r="B32" s="39" t="s">
        <v>30</v>
      </c>
      <c r="C32" s="39"/>
      <c r="D32" s="39"/>
      <c r="E32" s="39"/>
      <c r="F32" s="39"/>
      <c r="G32" s="39"/>
    </row>
    <row r="33" spans="7:8" x14ac:dyDescent="0.25">
      <c r="G33" s="28"/>
      <c r="H33" s="29"/>
    </row>
    <row r="34" spans="7:8" x14ac:dyDescent="0.25">
      <c r="G34" s="28"/>
      <c r="H34" s="29"/>
    </row>
  </sheetData>
  <mergeCells count="11">
    <mergeCell ref="B32:G32"/>
    <mergeCell ref="B2:H2"/>
    <mergeCell ref="B7:B9"/>
    <mergeCell ref="B15:B17"/>
    <mergeCell ref="B21:B22"/>
    <mergeCell ref="B27:G27"/>
    <mergeCell ref="B24:B25"/>
    <mergeCell ref="B10:B11"/>
    <mergeCell ref="B28:G28"/>
    <mergeCell ref="B29:G29"/>
    <mergeCell ref="B30:G30"/>
  </mergeCells>
  <conditionalFormatting sqref="B4:B5">
    <cfRule type="cellIs" dxfId="0" priority="1" operator="equal">
      <formula>0</formula>
    </cfRule>
  </conditionalFormatting>
  <pageMargins left="0.19685039370078741" right="0.19685039370078741" top="0.78740157480314965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67AD0944404D43B9C13913C1550C2D" ma:contentTypeVersion="2" ma:contentTypeDescription="Crie um novo documento." ma:contentTypeScope="" ma:versionID="a265771939eed729ff891566b9977d5b">
  <xsd:schema xmlns:xsd="http://www.w3.org/2001/XMLSchema" xmlns:xs="http://www.w3.org/2001/XMLSchema" xmlns:p="http://schemas.microsoft.com/office/2006/metadata/properties" xmlns:ns1="http://schemas.microsoft.com/sharepoint/v3" xmlns:ns2="d40c0c13-a960-412b-ba85-bb16c3070a2b" targetNamespace="http://schemas.microsoft.com/office/2006/metadata/properties" ma:root="true" ma:fieldsID="ff85ce6380ca4656865fcea7bd747201" ns1:_="" ns2:_="">
    <xsd:import namespace="http://schemas.microsoft.com/sharepoint/v3"/>
    <xsd:import namespace="d40c0c13-a960-412b-ba85-bb16c3070a2b"/>
    <xsd:element name="properties">
      <xsd:complexType>
        <xsd:sequence>
          <xsd:element name="documentManagement">
            <xsd:complexType>
              <xsd:all>
                <xsd:element ref="ns2:n932aec2a9884f1b94bedef1ed9b293a" minOccurs="0"/>
                <xsd:element ref="ns2:TaxCatchAll" minOccurs="0"/>
                <xsd:element ref="ns2:TaxCatchAllLabel" minOccurs="0"/>
                <xsd:element ref="ns2:i769c45f3efd47218b06989027a38b95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4" nillable="true" ma:displayName="Agendamento de Data de Início" ma:description="" ma:hidden="true" ma:internalName="PublishingStartDate">
      <xsd:simpleType>
        <xsd:restriction base="dms:Unknown"/>
      </xsd:simpleType>
    </xsd:element>
    <xsd:element name="PublishingExpirationDate" ma:index="15" nillable="true" ma:displayName="Agendamento de Data de Término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0c13-a960-412b-ba85-bb16c3070a2b" elementFormDefault="qualified">
    <xsd:import namespace="http://schemas.microsoft.com/office/2006/documentManagement/types"/>
    <xsd:import namespace="http://schemas.microsoft.com/office/infopath/2007/PartnerControls"/>
    <xsd:element name="n932aec2a9884f1b94bedef1ed9b293a" ma:index="8" nillable="true" ma:taxonomy="true" ma:internalName="n932aec2a9884f1b94bedef1ed9b293a" ma:taxonomyFieldName="Palavras_x002d_chave" ma:displayName="Palavras-chave" ma:default="" ma:fieldId="{7932aec2-a988-4f1b-94be-def1ed9b293a}" ma:taxonomyMulti="true" ma:sspId="b30740b0-c395-4107-a36e-c224641d2731" ma:termSetId="c99461b2-5b15-4a30-914c-b4a27e999a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Coluna Global de Taxonomia" ma:description="" ma:hidden="true" ma:list="{673e2ccd-7922-4689-9fe5-4d4621df6bad}" ma:internalName="TaxCatchAll" ma:showField="CatchAllData" ma:web="017fbcec-8805-4007-a636-4cb04a5a4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Coluna Global de Taxonomia1" ma:description="" ma:hidden="true" ma:list="{673e2ccd-7922-4689-9fe5-4d4621df6bad}" ma:internalName="TaxCatchAllLabel" ma:readOnly="true" ma:showField="CatchAllDataLabel" ma:web="017fbcec-8805-4007-a636-4cb04a5a4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769c45f3efd47218b06989027a38b95" ma:index="12" nillable="true" ma:taxonomy="true" ma:internalName="i769c45f3efd47218b06989027a38b95" ma:taxonomyFieldName="Confidencialidade" ma:displayName="Confidencialidade" ma:readOnly="false" ma:fieldId="{2769c45f-3efd-4721-8b06-989027a38b95}" ma:sspId="b30740b0-c395-4107-a36e-c224641d2731" ma:termSetId="c9575d9e-6701-4a7a-95e8-678bc77f3a1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932aec2a9884f1b94bedef1ed9b293a xmlns="d40c0c13-a960-412b-ba85-bb16c3070a2b">
      <Terms xmlns="http://schemas.microsoft.com/office/infopath/2007/PartnerControls"/>
    </n932aec2a9884f1b94bedef1ed9b293a>
    <TaxCatchAll xmlns="d40c0c13-a960-412b-ba85-bb16c3070a2b"/>
    <PublishingExpirationDate xmlns="http://schemas.microsoft.com/sharepoint/v3" xsi:nil="true"/>
    <PublishingStartDate xmlns="http://schemas.microsoft.com/sharepoint/v3" xsi:nil="true"/>
    <i769c45f3efd47218b06989027a38b95 xmlns="d40c0c13-a960-412b-ba85-bb16c3070a2b">
      <Terms xmlns="http://schemas.microsoft.com/office/infopath/2007/PartnerControls"/>
    </i769c45f3efd47218b06989027a38b95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30740b0-c395-4107-a36e-c224641d2731" ContentTypeId="0x0101" PreviousValue="false"/>
</file>

<file path=customXml/itemProps1.xml><?xml version="1.0" encoding="utf-8"?>
<ds:datastoreItem xmlns:ds="http://schemas.openxmlformats.org/officeDocument/2006/customXml" ds:itemID="{19F63B1F-2251-4A7D-9360-2CB3F7062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40c0c13-a960-412b-ba85-bb16c3070a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6E1AC-2040-4EB4-972A-88D4A6241DD7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40c0c13-a960-412b-ba85-bb16c3070a2b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DA64DC-0E3B-484C-A34D-83918CFEDE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04D51F-6A28-4CF2-BF31-80E2643D036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Simulador</vt:lpstr>
      <vt:lpstr>Simulador!Area_de_impressao</vt:lpstr>
    </vt:vector>
  </TitlesOfParts>
  <Company>Banco Itaú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SimuladordeLanceConsorcio</dc:title>
  <dc:creator>Adesktop</dc:creator>
  <cp:lastModifiedBy>Stephany Guimarães</cp:lastModifiedBy>
  <cp:lastPrinted>2025-01-12T17:56:17Z</cp:lastPrinted>
  <dcterms:created xsi:type="dcterms:W3CDTF">2008-06-17T19:13:21Z</dcterms:created>
  <dcterms:modified xsi:type="dcterms:W3CDTF">2026-05-19T20:08:08Z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0x0101009A67AD0944404D43B9C13913C1550C2D</vt:lpwstr>
  </property>
  <property fmtid="{D5CDD505-2E9C-101B-9397-08002B2CF9AE}" pid="3" name="Palavras-chave">
    <vt:lpwstr/>
  </property>
</Properties>
</file>