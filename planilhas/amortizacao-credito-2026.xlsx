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any\Desktop\"/>
    </mc:Choice>
  </mc:AlternateContent>
  <xr:revisionPtr revIDLastSave="0" documentId="13_ncr:1_{B5303A25-890F-4EC6-9FA4-3351E5BEDD2E}" xr6:coauthVersionLast="47" xr6:coauthVersionMax="47" xr10:uidLastSave="{00000000-0000-0000-0000-000000000000}"/>
  <bookViews>
    <workbookView xWindow="-120" yWindow="-120" windowWidth="20730" windowHeight="11160" xr2:uid="{EB84EBCD-ECF8-412E-A513-88C795EA4EDF}"/>
  </bookViews>
  <sheets>
    <sheet name="Simulador créd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0" i="1"/>
  <c r="C9" i="1"/>
  <c r="C11" i="1"/>
  <c r="C13" i="1"/>
  <c r="C14" i="1"/>
  <c r="C15" i="1"/>
  <c r="C16" i="1"/>
  <c r="C17" i="1"/>
  <c r="C18" i="1"/>
  <c r="C19" i="1"/>
  <c r="C20" i="1"/>
  <c r="C21" i="1"/>
  <c r="C22" i="1"/>
  <c r="C23" i="1"/>
  <c r="C8" i="1"/>
  <c r="E8" i="1"/>
  <c r="F8" i="1" s="1"/>
  <c r="E9" i="1"/>
  <c r="E10" i="1" l="1"/>
  <c r="F9" i="1"/>
  <c r="E11" i="1" l="1"/>
  <c r="F10" i="1"/>
  <c r="E12" i="1" l="1"/>
  <c r="F11" i="1"/>
  <c r="E13" i="1" l="1"/>
  <c r="F12" i="1"/>
  <c r="E14" i="1" l="1"/>
  <c r="F13" i="1"/>
  <c r="E15" i="1" l="1"/>
  <c r="F14" i="1"/>
  <c r="E16" i="1" l="1"/>
  <c r="F15" i="1"/>
  <c r="E17" i="1" l="1"/>
  <c r="F16" i="1"/>
  <c r="E18" i="1" l="1"/>
  <c r="F17" i="1"/>
  <c r="E19" i="1" l="1"/>
  <c r="F18" i="1"/>
  <c r="E20" i="1" l="1"/>
  <c r="F19" i="1"/>
  <c r="E21" i="1" l="1"/>
  <c r="F20" i="1"/>
  <c r="E22" i="1" l="1"/>
  <c r="F21" i="1"/>
  <c r="E23" i="1" l="1"/>
  <c r="F22" i="1"/>
  <c r="F23" i="1" l="1"/>
  <c r="H8" i="1"/>
  <c r="I8" i="1" l="1"/>
  <c r="H9" i="1"/>
  <c r="H10" i="1" l="1"/>
  <c r="I9" i="1"/>
  <c r="H11" i="1" l="1"/>
  <c r="I10" i="1"/>
  <c r="H12" i="1" l="1"/>
  <c r="I11" i="1"/>
  <c r="H13" i="1" l="1"/>
  <c r="I12" i="1"/>
  <c r="H14" i="1" l="1"/>
  <c r="I13" i="1"/>
  <c r="H15" i="1" l="1"/>
  <c r="I14" i="1"/>
  <c r="I15" i="1" l="1"/>
  <c r="H16" i="1"/>
  <c r="H17" i="1" l="1"/>
  <c r="I16" i="1"/>
  <c r="H18" i="1" l="1"/>
  <c r="I17" i="1"/>
  <c r="H19" i="1" l="1"/>
  <c r="I18" i="1"/>
  <c r="H20" i="1" l="1"/>
  <c r="I19" i="1"/>
  <c r="H21" i="1" l="1"/>
  <c r="I20" i="1"/>
  <c r="H22" i="1" l="1"/>
  <c r="I21" i="1"/>
  <c r="H23" i="1" l="1"/>
  <c r="I22" i="1"/>
  <c r="I23" i="1" l="1"/>
  <c r="K8" i="1"/>
  <c r="L8" i="1" l="1"/>
  <c r="K9" i="1"/>
  <c r="L9" i="1" l="1"/>
  <c r="K10" i="1"/>
  <c r="L10" i="1" l="1"/>
  <c r="K11" i="1"/>
  <c r="L11" i="1" l="1"/>
  <c r="K12" i="1"/>
  <c r="L12" i="1" l="1"/>
  <c r="K13" i="1"/>
  <c r="L13" i="1" l="1"/>
  <c r="K14" i="1"/>
  <c r="L14" i="1" l="1"/>
  <c r="K15" i="1"/>
  <c r="L15" i="1" l="1"/>
  <c r="K16" i="1"/>
  <c r="L16" i="1" l="1"/>
  <c r="K17" i="1"/>
  <c r="L17" i="1" l="1"/>
  <c r="K18" i="1"/>
  <c r="L18" i="1" l="1"/>
  <c r="K19" i="1"/>
  <c r="L19" i="1" l="1"/>
  <c r="K20" i="1"/>
  <c r="L20" i="1" l="1"/>
  <c r="K21" i="1"/>
  <c r="L21" i="1" l="1"/>
  <c r="K22" i="1"/>
  <c r="L22" i="1" l="1"/>
  <c r="K23" i="1"/>
  <c r="L23" i="1" l="1"/>
  <c r="N8" i="1"/>
  <c r="O8" i="1" l="1"/>
  <c r="N9" i="1"/>
  <c r="O9" i="1" l="1"/>
  <c r="N10" i="1"/>
  <c r="O10" i="1" l="1"/>
  <c r="N11" i="1"/>
  <c r="O11" i="1" l="1"/>
  <c r="N12" i="1"/>
  <c r="O12" i="1" l="1"/>
  <c r="N13" i="1"/>
  <c r="O13" i="1" l="1"/>
  <c r="N14" i="1"/>
  <c r="O14" i="1" l="1"/>
  <c r="N15" i="1"/>
  <c r="O15" i="1" l="1"/>
  <c r="N16" i="1"/>
  <c r="O16" i="1" l="1"/>
  <c r="N17" i="1"/>
  <c r="O17" i="1" l="1"/>
  <c r="N18" i="1"/>
  <c r="O18" i="1" l="1"/>
  <c r="N19" i="1"/>
  <c r="O19" i="1" l="1"/>
  <c r="N20" i="1"/>
  <c r="O20" i="1" l="1"/>
  <c r="N21" i="1"/>
  <c r="O21" i="1" l="1"/>
  <c r="N22" i="1"/>
  <c r="O22" i="1" l="1"/>
  <c r="N23" i="1"/>
  <c r="O23" i="1" l="1"/>
  <c r="Q8" i="1"/>
  <c r="R8" i="1" l="1"/>
  <c r="Q9" i="1"/>
  <c r="R9" i="1" l="1"/>
  <c r="Q10" i="1"/>
  <c r="R10" i="1" l="1"/>
  <c r="Q11" i="1"/>
  <c r="R11" i="1" l="1"/>
  <c r="Q12" i="1"/>
  <c r="R12" i="1" l="1"/>
  <c r="Q13" i="1"/>
  <c r="R13" i="1" l="1"/>
  <c r="Q14" i="1"/>
  <c r="R14" i="1" l="1"/>
  <c r="Q15" i="1"/>
  <c r="R15" i="1" l="1"/>
  <c r="Q16" i="1"/>
  <c r="R16" i="1" l="1"/>
  <c r="Q17" i="1"/>
  <c r="R17" i="1" l="1"/>
  <c r="Q18" i="1"/>
  <c r="R18" i="1" l="1"/>
  <c r="Q19" i="1"/>
  <c r="R19" i="1" l="1"/>
  <c r="Q20" i="1"/>
  <c r="R20" i="1" l="1"/>
  <c r="Q21" i="1"/>
  <c r="R21" i="1" l="1"/>
  <c r="Q22" i="1"/>
  <c r="R22" i="1" l="1"/>
  <c r="Q23" i="1"/>
  <c r="R23" i="1" s="1"/>
  <c r="N5" i="1"/>
</calcChain>
</file>

<file path=xl/sharedStrings.xml><?xml version="1.0" encoding="utf-8"?>
<sst xmlns="http://schemas.openxmlformats.org/spreadsheetml/2006/main" count="20" uniqueCount="8">
  <si>
    <t xml:space="preserve">Parcela: </t>
  </si>
  <si>
    <t>Valor:</t>
  </si>
  <si>
    <t>Valor parcela:</t>
  </si>
  <si>
    <t>Taxa de Juros:</t>
  </si>
  <si>
    <t>Quant. Parcelas</t>
  </si>
  <si>
    <t>Valor total simulação:</t>
  </si>
  <si>
    <t>Simulador - Crediário e Consignado</t>
  </si>
  <si>
    <t>Atualização mensal dos juros.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</si>
</sst>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0" fontId="0" fillId="0" borderId="0" xfId="2" applyNumberFormat="1" applyFont="1"/>
    <xf numFmtId="0" fontId="0" fillId="0" borderId="0" xfId="0" applyProtection="1"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8" fontId="0" fillId="0" borderId="1" xfId="1" applyNumberFormat="1" applyFont="1" applyBorder="1" applyAlignment="1" applyProtection="1">
      <alignment horizontal="center"/>
      <protection hidden="1"/>
    </xf>
    <xf numFmtId="0" fontId="6" fillId="6" borderId="1" xfId="0" applyFont="1" applyFill="1" applyBorder="1" applyAlignment="1" applyProtection="1">
      <alignment horizontal="center" vertical="center"/>
      <protection hidden="1"/>
    </xf>
    <xf numFmtId="0" fontId="6" fillId="3" borderId="1" xfId="0" applyFont="1" applyFill="1" applyBorder="1" applyAlignment="1" applyProtection="1">
      <alignment horizontal="center" vertical="center"/>
      <protection hidden="1"/>
    </xf>
    <xf numFmtId="0" fontId="6" fillId="7" borderId="1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4" fillId="8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164" fontId="0" fillId="5" borderId="0" xfId="1" applyNumberFormat="1" applyFont="1" applyFill="1" applyAlignment="1" applyProtection="1">
      <alignment horizontal="center"/>
      <protection locked="0"/>
    </xf>
    <xf numFmtId="10" fontId="0" fillId="5" borderId="0" xfId="2" applyNumberFormat="1" applyFont="1" applyFill="1" applyAlignment="1" applyProtection="1">
      <alignment horizontal="center"/>
      <protection locked="0"/>
    </xf>
    <xf numFmtId="0" fontId="0" fillId="5" borderId="0" xfId="2" applyNumberFormat="1" applyFont="1" applyFill="1" applyAlignment="1" applyProtection="1">
      <alignment horizontal="center"/>
      <protection locked="0"/>
    </xf>
    <xf numFmtId="0" fontId="5" fillId="0" borderId="0" xfId="0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theme="0" tint="-4.9989318521683403E-2"/>
      </font>
      <fill>
        <patternFill>
          <bgColor theme="0" tint="-4.9989318521683403E-2"/>
        </patternFill>
      </fill>
    </dxf>
    <dxf>
      <fill>
        <gradientFill degree="90">
          <stop position="0">
            <color theme="0"/>
          </stop>
          <stop position="1">
            <color theme="0" tint="-0.1490218817712943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398317</xdr:colOff>
      <xdr:row>1</xdr:row>
      <xdr:rowOff>64897</xdr:rowOff>
    </xdr:from>
    <xdr:to>
      <xdr:col>2</xdr:col>
      <xdr:colOff>575479</xdr:colOff>
      <xdr:row>1</xdr:row>
      <xdr:rowOff>346363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CD8DDB4-5B88-08A6-D206-20C79E78A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95" t="35540" r="17049" b="36237"/>
        <a:stretch/>
      </xdr:blipFill>
      <xdr:spPr>
        <a:xfrm>
          <a:off x="588817" y="142829"/>
          <a:ext cx="722685" cy="281466"/>
        </a:xfrm>
        <a:prstGeom prst="rect">
          <a:avLst/>
        </a:prstGeom>
      </xdr:spPr>
    </xdr:pic>
    <xdr:clientData/>
  </xdr:twoCellAnchor>
  <xdr:twoCellAnchor editAs="oneCell">
    <xdr:from>
      <xdr:col>16</xdr:col>
      <xdr:colOff>277091</xdr:colOff>
      <xdr:row>1</xdr:row>
      <xdr:rowOff>43297</xdr:rowOff>
    </xdr:from>
    <xdr:to>
      <xdr:col>17</xdr:col>
      <xdr:colOff>545523</xdr:colOff>
      <xdr:row>1</xdr:row>
      <xdr:rowOff>370787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94C92B8-838A-DF8B-38B6-B23AC8508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4523" y="121229"/>
          <a:ext cx="813955" cy="327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A6B3-078C-482B-81EB-753627960540}">
  <dimension ref="A1:T25"/>
  <sheetViews>
    <sheetView showGridLines="0" tabSelected="1" zoomScale="110" zoomScaleNormal="110" workbookViewId="0">
      <pane ySplit="5" topLeftCell="A6" activePane="bottomLeft" state="frozen"/>
      <selection pane="bottomLeft" activeCell="S1" sqref="S1"/>
    </sheetView>
  </sheetViews>
  <sheetFormatPr defaultColWidth="0" defaultRowHeight="15" zeroHeight="1" x14ac:dyDescent="0.25"/>
  <cols>
    <col min="1" max="1" width="2.85546875" customWidth="1"/>
    <col min="2" max="2" width="8.140625" customWidth="1"/>
    <col min="3" max="3" width="12.7109375" customWidth="1"/>
    <col min="4" max="4" width="1" customWidth="1"/>
    <col min="5" max="5" width="8.140625" customWidth="1"/>
    <col min="6" max="6" width="12.7109375" customWidth="1"/>
    <col min="7" max="7" width="1" customWidth="1"/>
    <col min="8" max="8" width="8.140625" customWidth="1"/>
    <col min="9" max="9" width="12.7109375" customWidth="1"/>
    <col min="10" max="10" width="1" customWidth="1"/>
    <col min="11" max="11" width="8.140625" customWidth="1"/>
    <col min="12" max="12" width="12.7109375" customWidth="1"/>
    <col min="13" max="13" width="1" customWidth="1"/>
    <col min="14" max="14" width="8.140625" customWidth="1"/>
    <col min="15" max="15" width="12.7109375" customWidth="1"/>
    <col min="16" max="16" width="1" customWidth="1"/>
    <col min="17" max="17" width="8.140625" customWidth="1"/>
    <col min="18" max="18" width="12.7109375" customWidth="1"/>
    <col min="19" max="19" width="3.140625" customWidth="1"/>
    <col min="20" max="20" width="12" hidden="1" customWidth="1"/>
    <col min="21" max="16384" width="9.140625" hidden="1"/>
  </cols>
  <sheetData>
    <row r="1" spans="2:18" ht="6" customHeight="1" x14ac:dyDescent="0.25"/>
    <row r="2" spans="2:18" ht="30" customHeight="1" x14ac:dyDescent="0.25">
      <c r="B2" s="9" t="s">
        <v>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2:18" ht="5.25" customHeight="1" x14ac:dyDescent="0.25"/>
    <row r="4" spans="2:18" ht="15" customHeight="1" x14ac:dyDescent="0.25">
      <c r="B4" s="10" t="s">
        <v>7</v>
      </c>
      <c r="C4" s="10"/>
      <c r="E4" s="11" t="s">
        <v>2</v>
      </c>
      <c r="F4" s="11"/>
      <c r="H4" s="11" t="s">
        <v>3</v>
      </c>
      <c r="I4" s="11"/>
      <c r="K4" s="11" t="s">
        <v>4</v>
      </c>
      <c r="L4" s="11"/>
      <c r="N4" s="11" t="s">
        <v>5</v>
      </c>
      <c r="O4" s="11"/>
      <c r="Q4" s="10" t="s">
        <v>7</v>
      </c>
      <c r="R4" s="10"/>
    </row>
    <row r="5" spans="2:18" x14ac:dyDescent="0.25">
      <c r="B5" s="10"/>
      <c r="C5" s="10"/>
      <c r="E5" s="13">
        <v>500</v>
      </c>
      <c r="F5" s="13"/>
      <c r="H5" s="14">
        <v>2.6800000000000001E-2</v>
      </c>
      <c r="I5" s="14"/>
      <c r="K5" s="15">
        <v>96</v>
      </c>
      <c r="L5" s="15"/>
      <c r="N5" s="12">
        <f>SUM(C8:C23,F8:F23,I8:I23,L8:L23,O8:O23,R8:R23)</f>
        <v>17183.750661817205</v>
      </c>
      <c r="O5" s="12"/>
      <c r="Q5" s="10"/>
      <c r="R5" s="10"/>
    </row>
    <row r="6" spans="2:18" ht="4.5" customHeight="1" x14ac:dyDescent="0.25">
      <c r="F6" s="1"/>
    </row>
    <row r="7" spans="2:18" x14ac:dyDescent="0.25">
      <c r="B7" s="5" t="s">
        <v>0</v>
      </c>
      <c r="C7" s="5" t="s">
        <v>1</v>
      </c>
      <c r="D7" s="2"/>
      <c r="E7" s="6" t="s">
        <v>0</v>
      </c>
      <c r="F7" s="6" t="s">
        <v>1</v>
      </c>
      <c r="G7" s="2"/>
      <c r="H7" s="5" t="s">
        <v>0</v>
      </c>
      <c r="I7" s="5" t="s">
        <v>1</v>
      </c>
      <c r="J7" s="2"/>
      <c r="K7" s="6" t="s">
        <v>0</v>
      </c>
      <c r="L7" s="6" t="s">
        <v>1</v>
      </c>
      <c r="M7" s="2"/>
      <c r="N7" s="7" t="s">
        <v>0</v>
      </c>
      <c r="O7" s="7" t="s">
        <v>1</v>
      </c>
      <c r="P7" s="2"/>
      <c r="Q7" s="8" t="s">
        <v>0</v>
      </c>
      <c r="R7" s="8" t="s">
        <v>1</v>
      </c>
    </row>
    <row r="8" spans="2:18" x14ac:dyDescent="0.25">
      <c r="B8" s="3">
        <v>1</v>
      </c>
      <c r="C8" s="4">
        <f t="shared" ref="C8:C23" si="0">IF(B8&gt;$K$5,"",PV($H$5,B8,0,-$E$5))</f>
        <v>486.9497467861317</v>
      </c>
      <c r="D8" s="2"/>
      <c r="E8" s="3">
        <f>B23+1</f>
        <v>17</v>
      </c>
      <c r="F8" s="4">
        <f t="shared" ref="F8:F23" si="1">IF(E8&gt;$K$5,"",PV($H$5,E8,0,-$E$5))</f>
        <v>318.94102407012542</v>
      </c>
      <c r="G8" s="2"/>
      <c r="H8" s="3">
        <f>E23+1</f>
        <v>33</v>
      </c>
      <c r="I8" s="4">
        <f t="shared" ref="I8:I23" si="2">IF(H8&gt;$K$5,"",PV($H$5,H8,0,-$E$5))</f>
        <v>208.89912666815127</v>
      </c>
      <c r="J8" s="2"/>
      <c r="K8" s="3">
        <f>H23+1</f>
        <v>49</v>
      </c>
      <c r="L8" s="4">
        <f t="shared" ref="L8:L23" si="3">IF(K8&gt;$K$5,"",PV($H$5,K8,0,-$E$5))</f>
        <v>136.82418324812761</v>
      </c>
      <c r="M8" s="2"/>
      <c r="N8" s="3">
        <f>K23+1</f>
        <v>65</v>
      </c>
      <c r="O8" s="4">
        <f t="shared" ref="O8:O23" si="4">IF(N8&gt;$K$5,"",PV($H$5,N8,0,-$E$5))</f>
        <v>89.616732344010217</v>
      </c>
      <c r="P8" s="2"/>
      <c r="Q8" s="3">
        <f>N23+1</f>
        <v>81</v>
      </c>
      <c r="R8" s="4">
        <f t="shared" ref="R8:R23" si="5">IF(Q8&gt;$K$5,"",PV($H$5,Q8,0,-$E$5))</f>
        <v>58.696924223210161</v>
      </c>
    </row>
    <row r="9" spans="2:18" x14ac:dyDescent="0.25">
      <c r="B9" s="3">
        <v>2</v>
      </c>
      <c r="C9" s="4">
        <f t="shared" si="0"/>
        <v>474.24011179015554</v>
      </c>
      <c r="D9" s="2"/>
      <c r="E9" s="3">
        <f>E8+1</f>
        <v>18</v>
      </c>
      <c r="F9" s="4">
        <f t="shared" si="1"/>
        <v>310.61650182131422</v>
      </c>
      <c r="G9" s="2"/>
      <c r="H9" s="3">
        <f>H8+1</f>
        <v>34</v>
      </c>
      <c r="I9" s="4">
        <f t="shared" si="2"/>
        <v>203.44675366980064</v>
      </c>
      <c r="J9" s="2"/>
      <c r="K9" s="3">
        <f>K8+1</f>
        <v>50</v>
      </c>
      <c r="L9" s="4">
        <f t="shared" si="3"/>
        <v>133.25300277379003</v>
      </c>
      <c r="M9" s="2"/>
      <c r="N9" s="3">
        <f>N8+1</f>
        <v>66</v>
      </c>
      <c r="O9" s="4">
        <f t="shared" si="4"/>
        <v>87.277690245432609</v>
      </c>
      <c r="P9" s="2"/>
      <c r="Q9" s="3">
        <f>Q8+1</f>
        <v>82</v>
      </c>
      <c r="R9" s="4">
        <f t="shared" si="5"/>
        <v>57.164904775233893</v>
      </c>
    </row>
    <row r="10" spans="2:18" x14ac:dyDescent="0.25">
      <c r="B10" s="3">
        <v>3</v>
      </c>
      <c r="C10" s="4">
        <f t="shared" si="0"/>
        <v>461.86220470408603</v>
      </c>
      <c r="D10" s="2"/>
      <c r="E10" s="3">
        <f t="shared" ref="E10:E23" si="6">E9+1</f>
        <v>19</v>
      </c>
      <c r="F10" s="4">
        <f t="shared" si="1"/>
        <v>302.50925381896587</v>
      </c>
      <c r="G10" s="2"/>
      <c r="H10" s="3">
        <f t="shared" ref="H10:H23" si="7">H9+1</f>
        <v>35</v>
      </c>
      <c r="I10" s="4">
        <f t="shared" si="2"/>
        <v>198.13669036793985</v>
      </c>
      <c r="J10" s="2"/>
      <c r="K10" s="3">
        <f t="shared" ref="K10:K23" si="8">K9+1</f>
        <v>51</v>
      </c>
      <c r="L10" s="4">
        <f t="shared" si="3"/>
        <v>129.77503191837752</v>
      </c>
      <c r="M10" s="2"/>
      <c r="N10" s="3">
        <f t="shared" ref="N10:N23" si="9">N9+1</f>
        <v>67</v>
      </c>
      <c r="O10" s="4">
        <f t="shared" si="4"/>
        <v>84.999698330183705</v>
      </c>
      <c r="P10" s="2"/>
      <c r="Q10" s="3">
        <f t="shared" ref="Q10:Q23" si="10">Q9+1</f>
        <v>83</v>
      </c>
      <c r="R10" s="4">
        <f t="shared" si="5"/>
        <v>55.672871810706951</v>
      </c>
    </row>
    <row r="11" spans="2:18" x14ac:dyDescent="0.25">
      <c r="B11" s="3">
        <v>4</v>
      </c>
      <c r="C11" s="4">
        <f t="shared" si="0"/>
        <v>449.80736726147836</v>
      </c>
      <c r="D11" s="2"/>
      <c r="E11" s="3">
        <f t="shared" si="6"/>
        <v>20</v>
      </c>
      <c r="F11" s="4">
        <f t="shared" si="1"/>
        <v>294.61360909521414</v>
      </c>
      <c r="G11" s="2"/>
      <c r="H11" s="3">
        <f t="shared" si="7"/>
        <v>36</v>
      </c>
      <c r="I11" s="4">
        <f t="shared" si="2"/>
        <v>192.96522240742095</v>
      </c>
      <c r="J11" s="2"/>
      <c r="K11" s="3">
        <f t="shared" si="8"/>
        <v>52</v>
      </c>
      <c r="L11" s="4">
        <f t="shared" si="3"/>
        <v>126.38783786363217</v>
      </c>
      <c r="M11" s="2"/>
      <c r="N11" s="3">
        <f t="shared" si="9"/>
        <v>68</v>
      </c>
      <c r="O11" s="4">
        <f t="shared" si="4"/>
        <v>82.781163157561068</v>
      </c>
      <c r="P11" s="2"/>
      <c r="Q11" s="3">
        <f t="shared" si="10"/>
        <v>84</v>
      </c>
      <c r="R11" s="4">
        <f t="shared" si="5"/>
        <v>54.219781662161033</v>
      </c>
    </row>
    <row r="12" spans="2:18" x14ac:dyDescent="0.25">
      <c r="B12" s="3">
        <v>5</v>
      </c>
      <c r="C12" s="4">
        <f t="shared" si="0"/>
        <v>438.06716718102695</v>
      </c>
      <c r="D12" s="2"/>
      <c r="E12" s="3">
        <f t="shared" si="6"/>
        <v>21</v>
      </c>
      <c r="F12" s="4">
        <f t="shared" si="1"/>
        <v>286.92404469732583</v>
      </c>
      <c r="G12" s="2"/>
      <c r="H12" s="3">
        <f t="shared" si="7"/>
        <v>37</v>
      </c>
      <c r="I12" s="4">
        <f t="shared" si="2"/>
        <v>187.92873237964645</v>
      </c>
      <c r="J12" s="2"/>
      <c r="K12" s="3">
        <f t="shared" si="8"/>
        <v>53</v>
      </c>
      <c r="L12" s="4">
        <f t="shared" si="3"/>
        <v>123.08905128908471</v>
      </c>
      <c r="M12" s="2"/>
      <c r="N12" s="3">
        <f t="shared" si="9"/>
        <v>69</v>
      </c>
      <c r="O12" s="4">
        <f t="shared" si="4"/>
        <v>80.620532876471628</v>
      </c>
      <c r="P12" s="2"/>
      <c r="Q12" s="3">
        <f t="shared" si="10"/>
        <v>85</v>
      </c>
      <c r="R12" s="4">
        <f t="shared" si="5"/>
        <v>52.804617902377331</v>
      </c>
    </row>
    <row r="13" spans="2:18" x14ac:dyDescent="0.25">
      <c r="B13" s="3">
        <v>6</v>
      </c>
      <c r="C13" s="4">
        <f t="shared" si="0"/>
        <v>426.63339226823814</v>
      </c>
      <c r="D13" s="2"/>
      <c r="E13" s="3">
        <f t="shared" si="6"/>
        <v>22</v>
      </c>
      <c r="F13" s="4">
        <f t="shared" si="1"/>
        <v>279.43518182443108</v>
      </c>
      <c r="G13" s="2"/>
      <c r="H13" s="3">
        <f t="shared" si="7"/>
        <v>38</v>
      </c>
      <c r="I13" s="4">
        <f t="shared" si="2"/>
        <v>183.02369729221508</v>
      </c>
      <c r="J13" s="2"/>
      <c r="K13" s="3">
        <f t="shared" si="8"/>
        <v>54</v>
      </c>
      <c r="L13" s="4">
        <f t="shared" si="3"/>
        <v>119.87636471472995</v>
      </c>
      <c r="M13" s="2"/>
      <c r="N13" s="3">
        <f t="shared" si="9"/>
        <v>70</v>
      </c>
      <c r="O13" s="4">
        <f t="shared" si="4"/>
        <v>78.516296139921721</v>
      </c>
      <c r="P13" s="2"/>
      <c r="Q13" s="3">
        <f t="shared" si="10"/>
        <v>86</v>
      </c>
      <c r="R13" s="4">
        <f t="shared" si="5"/>
        <v>51.42639063340215</v>
      </c>
    </row>
    <row r="14" spans="2:18" x14ac:dyDescent="0.25">
      <c r="B14" s="3">
        <v>7</v>
      </c>
      <c r="C14" s="4">
        <f t="shared" si="0"/>
        <v>415.49804467105389</v>
      </c>
      <c r="D14" s="2"/>
      <c r="E14" s="3">
        <f t="shared" si="6"/>
        <v>23</v>
      </c>
      <c r="F14" s="4">
        <f t="shared" si="1"/>
        <v>272.14178206508677</v>
      </c>
      <c r="G14" s="2"/>
      <c r="H14" s="3">
        <f t="shared" si="7"/>
        <v>39</v>
      </c>
      <c r="I14" s="4">
        <f t="shared" si="2"/>
        <v>178.24668610461151</v>
      </c>
      <c r="J14" s="2"/>
      <c r="K14" s="3">
        <f t="shared" si="8"/>
        <v>55</v>
      </c>
      <c r="L14" s="4">
        <f t="shared" si="3"/>
        <v>116.74753088695944</v>
      </c>
      <c r="M14" s="2"/>
      <c r="N14" s="3">
        <f t="shared" si="9"/>
        <v>71</v>
      </c>
      <c r="O14" s="4">
        <f t="shared" si="4"/>
        <v>76.466981047839624</v>
      </c>
      <c r="P14" s="2"/>
      <c r="Q14" s="3">
        <f t="shared" si="10"/>
        <v>87</v>
      </c>
      <c r="R14" s="4">
        <f t="shared" si="5"/>
        <v>50.084135794119732</v>
      </c>
    </row>
    <row r="15" spans="2:18" x14ac:dyDescent="0.25">
      <c r="B15" s="3">
        <v>8</v>
      </c>
      <c r="C15" s="4">
        <f t="shared" si="0"/>
        <v>404.65333528540498</v>
      </c>
      <c r="D15" s="2"/>
      <c r="E15" s="3">
        <f t="shared" si="6"/>
        <v>24</v>
      </c>
      <c r="F15" s="4">
        <f t="shared" si="1"/>
        <v>265.03874373304126</v>
      </c>
      <c r="G15" s="2"/>
      <c r="H15" s="3">
        <f t="shared" si="7"/>
        <v>40</v>
      </c>
      <c r="I15" s="4">
        <f t="shared" si="2"/>
        <v>173.5943573282153</v>
      </c>
      <c r="J15" s="2"/>
      <c r="K15" s="3">
        <f t="shared" si="8"/>
        <v>56</v>
      </c>
      <c r="L15" s="4">
        <f t="shared" si="3"/>
        <v>113.70036120662195</v>
      </c>
      <c r="M15" s="2"/>
      <c r="N15" s="3">
        <f t="shared" si="9"/>
        <v>72</v>
      </c>
      <c r="O15" s="4">
        <f t="shared" si="4"/>
        <v>74.471154117490855</v>
      </c>
      <c r="P15" s="2"/>
      <c r="Q15" s="3">
        <f t="shared" si="10"/>
        <v>88</v>
      </c>
      <c r="R15" s="4">
        <f t="shared" si="5"/>
        <v>48.77691448589767</v>
      </c>
    </row>
    <row r="16" spans="2:18" x14ac:dyDescent="0.25">
      <c r="B16" s="3">
        <v>9</v>
      </c>
      <c r="C16" s="4">
        <f t="shared" si="0"/>
        <v>394.09167830678319</v>
      </c>
      <c r="D16" s="2"/>
      <c r="E16" s="3">
        <f t="shared" si="6"/>
        <v>25</v>
      </c>
      <c r="F16" s="4">
        <f t="shared" si="1"/>
        <v>258.12109829863772</v>
      </c>
      <c r="G16" s="2"/>
      <c r="H16" s="3">
        <f>H15+1</f>
        <v>41</v>
      </c>
      <c r="I16" s="4">
        <f t="shared" si="2"/>
        <v>169.06345668895142</v>
      </c>
      <c r="J16" s="2"/>
      <c r="K16" s="3">
        <f t="shared" si="8"/>
        <v>57</v>
      </c>
      <c r="L16" s="4">
        <f t="shared" si="3"/>
        <v>110.73272419811252</v>
      </c>
      <c r="M16" s="2"/>
      <c r="N16" s="3">
        <f t="shared" si="9"/>
        <v>73</v>
      </c>
      <c r="O16" s="4">
        <f t="shared" si="4"/>
        <v>72.527419280766324</v>
      </c>
      <c r="P16" s="2"/>
      <c r="Q16" s="3">
        <f t="shared" si="10"/>
        <v>89</v>
      </c>
      <c r="R16" s="4">
        <f t="shared" si="5"/>
        <v>47.503812315833343</v>
      </c>
    </row>
    <row r="17" spans="2:18" x14ac:dyDescent="0.25">
      <c r="B17" s="3">
        <v>10</v>
      </c>
      <c r="C17" s="4">
        <f t="shared" si="0"/>
        <v>383.80568592401949</v>
      </c>
      <c r="D17" s="2"/>
      <c r="E17" s="3">
        <f t="shared" si="6"/>
        <v>26</v>
      </c>
      <c r="F17" s="4">
        <f t="shared" si="1"/>
        <v>251.38400691335968</v>
      </c>
      <c r="G17" s="2"/>
      <c r="H17" s="3">
        <f t="shared" si="7"/>
        <v>42</v>
      </c>
      <c r="I17" s="4">
        <f t="shared" si="2"/>
        <v>164.65081485094606</v>
      </c>
      <c r="J17" s="2"/>
      <c r="K17" s="3">
        <f t="shared" si="8"/>
        <v>58</v>
      </c>
      <c r="L17" s="4">
        <f t="shared" si="3"/>
        <v>107.84254401841889</v>
      </c>
      <c r="M17" s="2"/>
      <c r="N17" s="3">
        <f t="shared" si="9"/>
        <v>74</v>
      </c>
      <c r="O17" s="4">
        <f t="shared" si="4"/>
        <v>70.634416907641537</v>
      </c>
      <c r="P17" s="2"/>
      <c r="Q17" s="3">
        <f t="shared" si="10"/>
        <v>90</v>
      </c>
      <c r="R17" s="4">
        <f t="shared" si="5"/>
        <v>46.263938757141936</v>
      </c>
    </row>
    <row r="18" spans="2:18" x14ac:dyDescent="0.25">
      <c r="B18" s="3">
        <v>11</v>
      </c>
      <c r="C18" s="4">
        <f t="shared" si="0"/>
        <v>373.78816315155774</v>
      </c>
      <c r="D18" s="2"/>
      <c r="E18" s="3">
        <f t="shared" si="6"/>
        <v>27</v>
      </c>
      <c r="F18" s="4">
        <f t="shared" si="1"/>
        <v>244.82275702508736</v>
      </c>
      <c r="G18" s="2"/>
      <c r="H18" s="3">
        <f t="shared" si="7"/>
        <v>43</v>
      </c>
      <c r="I18" s="4">
        <f t="shared" si="2"/>
        <v>160.35334519959684</v>
      </c>
      <c r="J18" s="2"/>
      <c r="K18" s="3">
        <f t="shared" si="8"/>
        <v>59</v>
      </c>
      <c r="L18" s="4">
        <f t="shared" si="3"/>
        <v>105.0277990050827</v>
      </c>
      <c r="M18" s="2"/>
      <c r="N18" s="3">
        <f t="shared" si="9"/>
        <v>75</v>
      </c>
      <c r="O18" s="4">
        <f t="shared" si="4"/>
        <v>68.790822855124205</v>
      </c>
      <c r="P18" s="2"/>
      <c r="Q18" s="3">
        <f t="shared" si="10"/>
        <v>91</v>
      </c>
      <c r="R18" s="4">
        <f t="shared" si="5"/>
        <v>45.056426526238738</v>
      </c>
    </row>
    <row r="19" spans="2:18" x14ac:dyDescent="0.25">
      <c r="B19" s="3">
        <v>12</v>
      </c>
      <c r="C19" s="4">
        <f t="shared" si="0"/>
        <v>364.03210279660857</v>
      </c>
      <c r="D19" s="2"/>
      <c r="E19" s="3">
        <f t="shared" si="6"/>
        <v>28</v>
      </c>
      <c r="F19" s="4">
        <f t="shared" si="1"/>
        <v>238.43275908169787</v>
      </c>
      <c r="G19" s="2"/>
      <c r="H19" s="3">
        <f t="shared" si="7"/>
        <v>44</v>
      </c>
      <c r="I19" s="4">
        <f t="shared" si="2"/>
        <v>156.1680416825057</v>
      </c>
      <c r="J19" s="2"/>
      <c r="K19" s="3">
        <f t="shared" si="8"/>
        <v>60</v>
      </c>
      <c r="L19" s="4">
        <f t="shared" si="3"/>
        <v>102.28652026205948</v>
      </c>
      <c r="M19" s="2"/>
      <c r="N19" s="3">
        <f t="shared" si="9"/>
        <v>76</v>
      </c>
      <c r="O19" s="4">
        <f t="shared" si="4"/>
        <v>66.995347541024728</v>
      </c>
      <c r="P19" s="2"/>
      <c r="Q19" s="3">
        <f t="shared" si="10"/>
        <v>92</v>
      </c>
      <c r="R19" s="4">
        <f t="shared" si="5"/>
        <v>43.880430976079801</v>
      </c>
    </row>
    <row r="20" spans="2:18" x14ac:dyDescent="0.25">
      <c r="B20" s="3">
        <v>13</v>
      </c>
      <c r="C20" s="4">
        <f t="shared" si="0"/>
        <v>354.53068055766329</v>
      </c>
      <c r="D20" s="2"/>
      <c r="E20" s="3">
        <f t="shared" si="6"/>
        <v>29</v>
      </c>
      <c r="F20" s="4">
        <f t="shared" si="1"/>
        <v>232.20954332070306</v>
      </c>
      <c r="G20" s="2"/>
      <c r="H20" s="3">
        <f t="shared" si="7"/>
        <v>45</v>
      </c>
      <c r="I20" s="4">
        <f t="shared" si="2"/>
        <v>152.09197670676446</v>
      </c>
      <c r="J20" s="2"/>
      <c r="K20" s="3">
        <f t="shared" si="8"/>
        <v>61</v>
      </c>
      <c r="L20" s="4">
        <f t="shared" si="3"/>
        <v>99.616790282488807</v>
      </c>
      <c r="M20" s="2"/>
      <c r="N20" s="3">
        <f t="shared" si="9"/>
        <v>77</v>
      </c>
      <c r="O20" s="4">
        <f t="shared" si="4"/>
        <v>65.246735041901786</v>
      </c>
      <c r="P20" s="2"/>
      <c r="Q20" s="3">
        <f t="shared" si="10"/>
        <v>93</v>
      </c>
      <c r="R20" s="4">
        <f t="shared" si="5"/>
        <v>42.735129505336779</v>
      </c>
    </row>
    <row r="21" spans="2:18" x14ac:dyDescent="0.25">
      <c r="B21" s="3">
        <v>14</v>
      </c>
      <c r="C21" s="4">
        <f t="shared" si="0"/>
        <v>345.27725025093815</v>
      </c>
      <c r="D21" s="2"/>
      <c r="E21" s="3">
        <f t="shared" si="6"/>
        <v>30</v>
      </c>
      <c r="F21" s="4">
        <f t="shared" si="1"/>
        <v>226.14875664267925</v>
      </c>
      <c r="G21" s="2"/>
      <c r="H21" s="3">
        <f t="shared" si="7"/>
        <v>46</v>
      </c>
      <c r="I21" s="4">
        <f t="shared" si="2"/>
        <v>148.12229909112236</v>
      </c>
      <c r="J21" s="2"/>
      <c r="K21" s="3">
        <f t="shared" si="8"/>
        <v>62</v>
      </c>
      <c r="L21" s="4">
        <f t="shared" si="3"/>
        <v>97.016741607410211</v>
      </c>
      <c r="M21" s="2"/>
      <c r="N21" s="3">
        <f t="shared" si="9"/>
        <v>78</v>
      </c>
      <c r="O21" s="4">
        <f t="shared" si="4"/>
        <v>63.543762214551791</v>
      </c>
      <c r="P21" s="2"/>
      <c r="Q21" s="3">
        <f t="shared" si="10"/>
        <v>94</v>
      </c>
      <c r="R21" s="4">
        <f t="shared" si="5"/>
        <v>41.619720982992575</v>
      </c>
    </row>
    <row r="22" spans="2:18" x14ac:dyDescent="0.25">
      <c r="B22" s="3">
        <v>15</v>
      </c>
      <c r="C22" s="4">
        <f t="shared" si="0"/>
        <v>336.26533916141227</v>
      </c>
      <c r="D22" s="2"/>
      <c r="E22" s="3">
        <f t="shared" si="6"/>
        <v>31</v>
      </c>
      <c r="F22" s="4">
        <f t="shared" si="1"/>
        <v>220.24615956630231</v>
      </c>
      <c r="G22" s="2"/>
      <c r="H22" s="3">
        <f t="shared" si="7"/>
        <v>47</v>
      </c>
      <c r="I22" s="4">
        <f t="shared" si="2"/>
        <v>144.25623207160339</v>
      </c>
      <c r="J22" s="2"/>
      <c r="K22" s="3">
        <f t="shared" si="8"/>
        <v>63</v>
      </c>
      <c r="L22" s="4">
        <f t="shared" si="3"/>
        <v>94.484555519487927</v>
      </c>
      <c r="M22" s="2"/>
      <c r="N22" s="3">
        <f t="shared" si="9"/>
        <v>79</v>
      </c>
      <c r="O22" s="4">
        <f t="shared" si="4"/>
        <v>61.88523784042831</v>
      </c>
      <c r="P22" s="2"/>
      <c r="Q22" s="3">
        <f t="shared" si="10"/>
        <v>95</v>
      </c>
      <c r="R22" s="4">
        <f t="shared" si="5"/>
        <v>40.533425187955373</v>
      </c>
    </row>
    <row r="23" spans="2:18" x14ac:dyDescent="0.25">
      <c r="B23" s="3">
        <v>16</v>
      </c>
      <c r="C23" s="4">
        <f t="shared" si="0"/>
        <v>327.48864351520473</v>
      </c>
      <c r="D23" s="2"/>
      <c r="E23" s="3">
        <f t="shared" si="6"/>
        <v>32</v>
      </c>
      <c r="F23" s="4">
        <f t="shared" si="1"/>
        <v>214.49762326285773</v>
      </c>
      <c r="G23" s="2"/>
      <c r="H23" s="3">
        <f t="shared" si="7"/>
        <v>48</v>
      </c>
      <c r="I23" s="4">
        <f t="shared" si="2"/>
        <v>140.49107135917743</v>
      </c>
      <c r="J23" s="2"/>
      <c r="K23" s="3">
        <f t="shared" si="8"/>
        <v>64</v>
      </c>
      <c r="L23" s="4">
        <f t="shared" si="3"/>
        <v>92.018460770829691</v>
      </c>
      <c r="M23" s="2"/>
      <c r="N23" s="3">
        <f t="shared" si="9"/>
        <v>80</v>
      </c>
      <c r="O23" s="4">
        <f t="shared" si="4"/>
        <v>60.270001792392193</v>
      </c>
      <c r="P23" s="2"/>
      <c r="Q23" s="3">
        <f t="shared" si="10"/>
        <v>96</v>
      </c>
      <c r="R23" s="4">
        <f t="shared" si="5"/>
        <v>39.475482263298957</v>
      </c>
    </row>
    <row r="24" spans="2:18" ht="15" customHeight="1" x14ac:dyDescent="0.25">
      <c r="B24" s="16" t="s">
        <v>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2:18" ht="15.75" customHeight="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</sheetData>
  <sheetProtection sheet="1" objects="1" scenarios="1"/>
  <mergeCells count="12">
    <mergeCell ref="B24:R25"/>
    <mergeCell ref="B2:R2"/>
    <mergeCell ref="Q4:R5"/>
    <mergeCell ref="N4:O4"/>
    <mergeCell ref="N5:O5"/>
    <mergeCell ref="E4:F4"/>
    <mergeCell ref="E5:F5"/>
    <mergeCell ref="H4:I4"/>
    <mergeCell ref="H5:I5"/>
    <mergeCell ref="K4:L4"/>
    <mergeCell ref="K5:L5"/>
    <mergeCell ref="B4:C5"/>
  </mergeCells>
  <conditionalFormatting sqref="B8:B23 E8:E23 H8:H23 K8:K23 N8:N23 Q8:Q23">
    <cfRule type="cellIs" dxfId="1" priority="1" operator="lessThanOrEqual">
      <formula>$K$5</formula>
    </cfRule>
    <cfRule type="cellIs" dxfId="0" priority="2" operator="greaterThan">
      <formula>$K$5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 crédito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Quartier carioca</dc:creator>
  <cp:lastModifiedBy>Stephany Guimarães</cp:lastModifiedBy>
  <dcterms:created xsi:type="dcterms:W3CDTF">2024-10-22T00:05:11Z</dcterms:created>
  <dcterms:modified xsi:type="dcterms:W3CDTF">2025-01-12T18:15:40Z</dcterms:modified>
</cp:coreProperties>
</file>