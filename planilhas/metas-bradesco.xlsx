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ecd90314f6056f/Documentos/"/>
    </mc:Choice>
  </mc:AlternateContent>
  <xr:revisionPtr revIDLastSave="0" documentId="8_{66179AE4-2EA5-4173-B3E9-36651E7A2DF8}" xr6:coauthVersionLast="47" xr6:coauthVersionMax="47" xr10:uidLastSave="{00000000-0000-0000-0000-000000000000}"/>
  <bookViews>
    <workbookView xWindow="-108" yWindow="-108" windowWidth="23256" windowHeight="12456" xr2:uid="{5CF6FD5E-4E8C-4D47-BFFF-45743711A23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2" i="1" l="1"/>
  <c r="K12" i="1"/>
  <c r="E12" i="1"/>
  <c r="I12" i="1" s="1"/>
  <c r="C6" i="1"/>
  <c r="C5" i="1"/>
  <c r="E18" i="1" l="1"/>
  <c r="E11" i="1"/>
  <c r="E13" i="1"/>
  <c r="E14" i="1"/>
  <c r="E15" i="1"/>
  <c r="E16" i="1"/>
  <c r="E17" i="1"/>
  <c r="E10" i="1"/>
  <c r="K10" i="1" l="1"/>
  <c r="L10" i="1"/>
  <c r="L17" i="1"/>
  <c r="K17" i="1"/>
  <c r="L16" i="1"/>
  <c r="K16" i="1"/>
  <c r="K15" i="1"/>
  <c r="L15" i="1"/>
  <c r="K14" i="1"/>
  <c r="L14" i="1"/>
  <c r="K13" i="1"/>
  <c r="L13" i="1"/>
  <c r="K11" i="1"/>
  <c r="L11" i="1"/>
  <c r="K18" i="1"/>
  <c r="L18" i="1"/>
  <c r="I16" i="1"/>
  <c r="I17" i="1"/>
  <c r="I15" i="1"/>
  <c r="I14" i="1"/>
  <c r="I13" i="1"/>
  <c r="I11" i="1"/>
  <c r="I18" i="1"/>
  <c r="I1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Stephany</author>
  </authors>
  <commentList>
    <comment ref="C2" authorId="0" shapeId="0" xr:uid="{037096B9-9FEC-4460-8574-6F6586120A4C}">
      <text>
        <r>
          <rPr>
            <b/>
            <sz val="9"/>
            <color indexed="81"/>
            <rFont val="Segoe UI"/>
            <family val="2"/>
          </rPr>
          <t>Stephany:</t>
        </r>
        <r>
          <rPr>
            <sz val="9"/>
            <color indexed="81"/>
            <rFont val="Segoe UI"/>
            <family val="2"/>
          </rPr>
          <t xml:space="preserve">
Atualizar data sempre quando atualizar o realizado.</t>
        </r>
      </text>
    </comment>
  </commentList>
</comments>
</file>

<file path=xl/sharedStrings.xml><?xml version="1.0" encoding="utf-8"?>
<sst xmlns="http://schemas.openxmlformats.org/spreadsheetml/2006/main" count="24" uniqueCount="24">
  <si>
    <t>Consórcio</t>
  </si>
  <si>
    <t>Cartões</t>
  </si>
  <si>
    <t>Crédito</t>
  </si>
  <si>
    <t>Seguro Vida</t>
  </si>
  <si>
    <t>Seguro Residencial</t>
  </si>
  <si>
    <t>Seguro Dental</t>
  </si>
  <si>
    <t>Capitalização | Mensal</t>
  </si>
  <si>
    <t>Capitalização | Única</t>
  </si>
  <si>
    <t>Início do mês:</t>
  </si>
  <si>
    <t>Data para atingir metas:</t>
  </si>
  <si>
    <t>Feriados do período:</t>
  </si>
  <si>
    <t>Dias úteis:</t>
  </si>
  <si>
    <t>Total semanas:</t>
  </si>
  <si>
    <t>Previdência</t>
  </si>
  <si>
    <t>ICM</t>
  </si>
  <si>
    <t>Produzido:</t>
  </si>
  <si>
    <t>Meta dia:</t>
  </si>
  <si>
    <t>Meta Semana:</t>
  </si>
  <si>
    <t>ICM desejado:</t>
  </si>
  <si>
    <t>Meta Gerente:</t>
  </si>
  <si>
    <t>Itens:</t>
  </si>
  <si>
    <t>Organização meta:</t>
  </si>
  <si>
    <t>Informe sua produção  ↓</t>
  </si>
  <si>
    <t>Luana Ribeiro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</si>
</sst>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165" formatCode="0.0"/>
    <numFmt numFmtId="170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b/>
      <sz val="10"/>
      <color theme="0"/>
      <name val="Abadi Extra Light"/>
      <family val="2"/>
    </font>
    <font>
      <sz val="10"/>
      <color theme="1"/>
      <name val="Abadi Extra Light"/>
      <family val="2"/>
    </font>
    <font>
      <b/>
      <sz val="10"/>
      <color theme="1"/>
      <name val="Abadi Extra Light"/>
      <family val="2"/>
    </font>
    <font>
      <b/>
      <sz val="10"/>
      <color theme="0" tint="-0.34998626667073579"/>
      <name val="Abadi Extra Light"/>
      <family val="2"/>
    </font>
    <font>
      <sz val="10"/>
      <name val="Abadi Extra Light"/>
      <family val="2"/>
    </font>
  </fonts>
  <fills count="9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1" tint="0.249977111117893"/>
        <bgColor indexed="64"/>
      </patternFill>
    </fill>
  </fills>
  <borders count="11">
    <border>
      <left/>
      <right/>
      <top/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 tint="0.34998626667073579"/>
      </left>
      <right style="thin">
        <color theme="1" tint="0.499984740745262"/>
      </right>
      <top style="thin">
        <color theme="1" tint="0.499984740745262"/>
      </top>
      <bottom style="dotted">
        <color theme="1" tint="0.34998626667073579"/>
      </bottom>
      <diagonal/>
    </border>
    <border>
      <left style="thin">
        <color theme="1" tint="0.499984740745262"/>
      </left>
      <right/>
      <top/>
      <bottom/>
      <diagonal/>
    </border>
    <border>
      <left style="thin">
        <color theme="1" tint="0.34998626667073579"/>
      </left>
      <right style="thin">
        <color theme="1" tint="0.499984740745262"/>
      </right>
      <top style="dotted">
        <color theme="1" tint="0.34998626667073579"/>
      </top>
      <bottom style="thin">
        <color theme="1" tint="0.34998626667073579"/>
      </bottom>
      <diagonal/>
    </border>
    <border>
      <left/>
      <right style="thin">
        <color theme="1" tint="0.499984740745262"/>
      </right>
      <top/>
      <bottom style="thin">
        <color theme="2" tint="-0.249977111117893"/>
      </bottom>
      <diagonal/>
    </border>
    <border>
      <left/>
      <right style="thin">
        <color theme="1" tint="0.499984740745262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1" tint="0.499984740745262"/>
      </left>
      <right/>
      <top/>
      <bottom style="thin">
        <color theme="1" tint="0.499984740745262"/>
      </bottom>
      <diagonal/>
    </border>
    <border>
      <left/>
      <right style="thin">
        <color theme="1" tint="0.499984740745262"/>
      </right>
      <top style="thin">
        <color theme="2" tint="-0.249977111117893"/>
      </top>
      <bottom style="thin">
        <color theme="1" tint="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8">
    <xf numFmtId="0" fontId="0" fillId="0" borderId="0" xfId="0"/>
    <xf numFmtId="14" fontId="4" fillId="4" borderId="1" xfId="0" applyNumberFormat="1" applyFont="1" applyFill="1" applyBorder="1" applyAlignment="1">
      <alignment horizontal="center" vertical="center"/>
    </xf>
    <xf numFmtId="14" fontId="4" fillId="4" borderId="3" xfId="0" applyNumberFormat="1" applyFont="1" applyFill="1" applyBorder="1" applyAlignment="1">
      <alignment horizontal="center" vertical="center"/>
    </xf>
    <xf numFmtId="14" fontId="4" fillId="4" borderId="7" xfId="0" applyNumberFormat="1" applyFont="1" applyFill="1" applyBorder="1" applyAlignment="1">
      <alignment horizontal="center" vertical="center"/>
    </xf>
    <xf numFmtId="14" fontId="4" fillId="2" borderId="2" xfId="0" applyNumberFormat="1" applyFont="1" applyFill="1" applyBorder="1" applyAlignment="1">
      <alignment horizontal="center" vertical="center"/>
    </xf>
    <xf numFmtId="0" fontId="5" fillId="0" borderId="0" xfId="0" applyFont="1"/>
    <xf numFmtId="0" fontId="6" fillId="5" borderId="0" xfId="0" applyFont="1" applyFill="1" applyBorder="1" applyAlignment="1">
      <alignment horizontal="right" indent="2"/>
    </xf>
    <xf numFmtId="14" fontId="4" fillId="2" borderId="4" xfId="0" applyNumberFormat="1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165" fontId="4" fillId="3" borderId="8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wrapText="1"/>
    </xf>
    <xf numFmtId="0" fontId="4" fillId="6" borderId="9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 vertical="center"/>
    </xf>
    <xf numFmtId="9" fontId="4" fillId="6" borderId="9" xfId="2" applyFont="1" applyFill="1" applyBorder="1" applyAlignment="1">
      <alignment horizontal="center"/>
    </xf>
    <xf numFmtId="9" fontId="4" fillId="4" borderId="1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9" fontId="4" fillId="7" borderId="10" xfId="0" applyNumberFormat="1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/>
    </xf>
    <xf numFmtId="44" fontId="5" fillId="0" borderId="0" xfId="0" applyNumberFormat="1" applyFont="1"/>
    <xf numFmtId="44" fontId="8" fillId="5" borderId="10" xfId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44" fontId="8" fillId="0" borderId="10" xfId="1" applyFont="1" applyBorder="1" applyAlignment="1">
      <alignment horizontal="center" vertical="center"/>
    </xf>
    <xf numFmtId="9" fontId="8" fillId="0" borderId="10" xfId="2" applyFont="1" applyBorder="1" applyAlignment="1">
      <alignment horizontal="center" vertical="center"/>
    </xf>
    <xf numFmtId="1" fontId="8" fillId="5" borderId="10" xfId="1" applyNumberFormat="1" applyFont="1" applyFill="1" applyBorder="1" applyAlignment="1">
      <alignment horizontal="center" vertical="center"/>
    </xf>
    <xf numFmtId="1" fontId="8" fillId="0" borderId="10" xfId="1" applyNumberFormat="1" applyFont="1" applyBorder="1" applyAlignment="1">
      <alignment horizontal="center" vertical="center"/>
    </xf>
    <xf numFmtId="170" fontId="8" fillId="5" borderId="10" xfId="2" applyNumberFormat="1" applyFont="1" applyFill="1" applyBorder="1" applyAlignment="1">
      <alignment horizontal="center" vertical="center"/>
    </xf>
  </cellXfs>
  <cellStyles count="3">
    <cellStyle name="Moeda" xfId="1" builtinId="4"/>
    <cellStyle name="Normal" xfId="0" builtinId="0"/>
    <cellStyle name="Porcentagem" xfId="2" builtinId="5"/>
  </cellStyles>
  <dxfs count="1">
    <dxf>
      <font>
        <b/>
        <i val="0"/>
        <color theme="1" tint="0.24994659260841701"/>
      </font>
      <fill>
        <gradientFill degree="90">
          <stop position="0">
            <color theme="0"/>
          </stop>
          <stop position="1">
            <color theme="6" tint="0.59999389629810485"/>
          </stop>
        </gradient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Planilha1!$I$9</c:f>
              <c:strCache>
                <c:ptCount val="1"/>
                <c:pt idx="0">
                  <c:v>ICM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solidFill>
                <a:srgbClr val="C00000"/>
              </a:solidFill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Planilha1!$B$10:$B$18</c:f>
              <c:strCache>
                <c:ptCount val="9"/>
                <c:pt idx="0">
                  <c:v>Consórcio</c:v>
                </c:pt>
                <c:pt idx="1">
                  <c:v>Cartões</c:v>
                </c:pt>
                <c:pt idx="2">
                  <c:v>Previdência</c:v>
                </c:pt>
                <c:pt idx="3">
                  <c:v>Crédito</c:v>
                </c:pt>
                <c:pt idx="4">
                  <c:v>Seguro Vida</c:v>
                </c:pt>
                <c:pt idx="5">
                  <c:v>Seguro Residencial</c:v>
                </c:pt>
                <c:pt idx="6">
                  <c:v>Seguro Dental</c:v>
                </c:pt>
                <c:pt idx="7">
                  <c:v>Capitalização | Única</c:v>
                </c:pt>
                <c:pt idx="8">
                  <c:v>Capitalização | Mensal</c:v>
                </c:pt>
              </c:strCache>
            </c:strRef>
          </c:cat>
          <c:val>
            <c:numRef>
              <c:f>Planilha1!$I$10:$I$18</c:f>
              <c:numCache>
                <c:formatCode>0%</c:formatCode>
                <c:ptCount val="9"/>
                <c:pt idx="0">
                  <c:v>0</c:v>
                </c:pt>
                <c:pt idx="1">
                  <c:v>1.8749999999999998</c:v>
                </c:pt>
                <c:pt idx="2">
                  <c:v>1.8055555555555556</c:v>
                </c:pt>
                <c:pt idx="3">
                  <c:v>0.13333333333333333</c:v>
                </c:pt>
                <c:pt idx="4">
                  <c:v>3.125</c:v>
                </c:pt>
                <c:pt idx="5">
                  <c:v>0</c:v>
                </c:pt>
                <c:pt idx="6">
                  <c:v>0</c:v>
                </c:pt>
                <c:pt idx="7">
                  <c:v>0.5</c:v>
                </c:pt>
                <c:pt idx="8">
                  <c:v>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AB-443F-A4B5-A6D0879FD6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4019232"/>
        <c:axId val="818089952"/>
      </c:barChart>
      <c:catAx>
        <c:axId val="38401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8089952"/>
        <c:crosses val="autoZero"/>
        <c:auto val="1"/>
        <c:lblAlgn val="ctr"/>
        <c:lblOffset val="100"/>
        <c:noMultiLvlLbl val="0"/>
      </c:catAx>
      <c:valAx>
        <c:axId val="818089952"/>
        <c:scaling>
          <c:orientation val="minMax"/>
        </c:scaling>
        <c:delete val="0"/>
        <c:axPos val="l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384019232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397566</xdr:colOff>
      <xdr:row>0</xdr:row>
      <xdr:rowOff>178905</xdr:rowOff>
    </xdr:from>
    <xdr:to>
      <xdr:col>10</xdr:col>
      <xdr:colOff>193793</xdr:colOff>
      <xdr:row>4</xdr:row>
      <xdr:rowOff>58641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9A07A3E-3C9D-F500-30ED-EBB9F70DF5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65375" y="178905"/>
          <a:ext cx="1803931" cy="5499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12</xdr:col>
      <xdr:colOff>195469</xdr:colOff>
      <xdr:row>8</xdr:row>
      <xdr:rowOff>284921</xdr:rowOff>
    </xdr:from>
    <xdr:to>
      <xdr:col>17</xdr:col>
      <xdr:colOff>159026</xdr:colOff>
      <xdr:row>18</xdr:row>
      <xdr:rowOff>53009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7F05E131-270F-E9B2-B6F6-BCAE36464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5B18C-EB86-4CE9-97CE-228C10553F67}">
  <dimension ref="B2:N18"/>
  <sheetViews>
    <sheetView showGridLines="0" tabSelected="1" zoomScale="115" zoomScaleNormal="115" workbookViewId="0">
      <pane xSplit="2" ySplit="9" topLeftCell="C10" activePane="bottomRight" state="frozen"/>
      <selection pane="topRight" activeCell="C1" sqref="C1"/>
      <selection pane="bottomLeft" activeCell="A10" sqref="A10"/>
      <selection pane="bottomRight" activeCell="K26" sqref="K26"/>
    </sheetView>
  </sheetViews>
  <sheetFormatPr defaultRowHeight="13.2" x14ac:dyDescent="0.25"/>
  <cols>
    <col min="1" max="1" width="2.5546875" style="5" customWidth="1"/>
    <col min="2" max="2" width="21.88671875" style="5" customWidth="1"/>
    <col min="3" max="3" width="14.5546875" style="5" bestFit="1" customWidth="1"/>
    <col min="4" max="4" width="1" style="5" customWidth="1"/>
    <col min="5" max="5" width="14.5546875" style="5" bestFit="1" customWidth="1"/>
    <col min="6" max="6" width="1" style="5" customWidth="1"/>
    <col min="7" max="7" width="14" style="5" customWidth="1"/>
    <col min="8" max="8" width="1" style="5" customWidth="1"/>
    <col min="9" max="9" width="13.33203125" style="5" customWidth="1"/>
    <col min="10" max="10" width="1" style="5" customWidth="1"/>
    <col min="11" max="12" width="14" style="5" customWidth="1"/>
    <col min="13" max="13" width="8.88671875" style="5"/>
    <col min="14" max="14" width="14" style="5" bestFit="1" customWidth="1"/>
    <col min="15" max="16384" width="8.88671875" style="5"/>
  </cols>
  <sheetData>
    <row r="2" spans="2:14" x14ac:dyDescent="0.25">
      <c r="B2" s="1" t="s">
        <v>8</v>
      </c>
      <c r="C2" s="4">
        <v>45797</v>
      </c>
      <c r="E2" s="6" t="s">
        <v>23</v>
      </c>
      <c r="F2" s="6"/>
      <c r="G2" s="6"/>
      <c r="H2" s="6"/>
      <c r="I2" s="6"/>
      <c r="J2" s="6"/>
      <c r="K2" s="6"/>
      <c r="L2" s="6"/>
    </row>
    <row r="3" spans="2:14" x14ac:dyDescent="0.25">
      <c r="B3" s="2" t="s">
        <v>9</v>
      </c>
      <c r="C3" s="7">
        <v>45808</v>
      </c>
      <c r="E3" s="6"/>
      <c r="F3" s="6"/>
      <c r="G3" s="6"/>
      <c r="H3" s="6"/>
      <c r="I3" s="6"/>
      <c r="J3" s="6"/>
      <c r="K3" s="6"/>
      <c r="L3" s="6"/>
    </row>
    <row r="4" spans="2:14" x14ac:dyDescent="0.25">
      <c r="B4" s="2" t="s">
        <v>10</v>
      </c>
      <c r="C4" s="8"/>
      <c r="E4" s="6"/>
      <c r="F4" s="6"/>
      <c r="G4" s="6"/>
      <c r="H4" s="6"/>
      <c r="I4" s="6"/>
      <c r="J4" s="6"/>
      <c r="K4" s="6"/>
      <c r="L4" s="6"/>
    </row>
    <row r="5" spans="2:14" x14ac:dyDescent="0.25">
      <c r="B5" s="2" t="s">
        <v>11</v>
      </c>
      <c r="C5" s="9">
        <f>(NETWORKDAYS(C2,C3))-C4</f>
        <v>9</v>
      </c>
    </row>
    <row r="6" spans="2:14" x14ac:dyDescent="0.25">
      <c r="B6" s="3" t="s">
        <v>12</v>
      </c>
      <c r="C6" s="10">
        <f>(C3-C2)/7</f>
        <v>1.5714285714285714</v>
      </c>
      <c r="G6" s="11" t="s">
        <v>22</v>
      </c>
      <c r="I6" s="12" t="s">
        <v>18</v>
      </c>
      <c r="K6" s="13" t="s">
        <v>21</v>
      </c>
      <c r="L6" s="13"/>
    </row>
    <row r="7" spans="2:14" x14ac:dyDescent="0.25">
      <c r="G7" s="11"/>
      <c r="I7" s="14">
        <v>1.5</v>
      </c>
      <c r="K7" s="13"/>
      <c r="L7" s="13"/>
    </row>
    <row r="8" spans="2:14" ht="3" customHeight="1" x14ac:dyDescent="0.25"/>
    <row r="9" spans="2:14" ht="23.4" customHeight="1" x14ac:dyDescent="0.25">
      <c r="B9" s="15" t="s">
        <v>20</v>
      </c>
      <c r="C9" s="15" t="s">
        <v>19</v>
      </c>
      <c r="D9" s="16"/>
      <c r="E9" s="15">
        <v>0.4</v>
      </c>
      <c r="F9" s="16"/>
      <c r="G9" s="17" t="s">
        <v>15</v>
      </c>
      <c r="H9" s="16"/>
      <c r="I9" s="18" t="s">
        <v>14</v>
      </c>
      <c r="J9" s="16"/>
      <c r="K9" s="18" t="s">
        <v>16</v>
      </c>
      <c r="L9" s="18" t="s">
        <v>17</v>
      </c>
    </row>
    <row r="10" spans="2:14" ht="16.2" customHeight="1" x14ac:dyDescent="0.25">
      <c r="B10" s="19" t="s">
        <v>0</v>
      </c>
      <c r="C10" s="21">
        <v>100000</v>
      </c>
      <c r="D10" s="22"/>
      <c r="E10" s="21">
        <f>C10*$E$9</f>
        <v>40000</v>
      </c>
      <c r="F10" s="22"/>
      <c r="G10" s="23">
        <v>0</v>
      </c>
      <c r="H10" s="22"/>
      <c r="I10" s="24">
        <f>G10/E10</f>
        <v>0</v>
      </c>
      <c r="J10" s="22"/>
      <c r="K10" s="27">
        <f>IF(((E10-G10)/$C$5)&lt;0,"Atingido",(E10-G10)/$C$5)</f>
        <v>4444.4444444444443</v>
      </c>
      <c r="L10" s="27">
        <f>IF(((E10-G10)/$C$6)&lt;0,"Atingido",(E10-G10)/$C$6)</f>
        <v>25454.545454545456</v>
      </c>
    </row>
    <row r="11" spans="2:14" ht="16.2" customHeight="1" x14ac:dyDescent="0.25">
      <c r="B11" s="19" t="s">
        <v>1</v>
      </c>
      <c r="C11" s="25">
        <v>12</v>
      </c>
      <c r="D11" s="22"/>
      <c r="E11" s="25">
        <f>C11*$E$9</f>
        <v>4.8000000000000007</v>
      </c>
      <c r="F11" s="22"/>
      <c r="G11" s="26">
        <v>9</v>
      </c>
      <c r="H11" s="22"/>
      <c r="I11" s="24">
        <f t="shared" ref="I11:I18" si="0">G11/E11</f>
        <v>1.8749999999999998</v>
      </c>
      <c r="J11" s="22"/>
      <c r="K11" s="27" t="str">
        <f t="shared" ref="K11:K18" si="1">IF(((E11-G11)/$C$5)&lt;0,"Atingido",(E11-G11)/$C$5)</f>
        <v>Atingido</v>
      </c>
      <c r="L11" s="27" t="str">
        <f t="shared" ref="L11:L18" si="2">IF(((E11-G11)/$C$6)&lt;0,"Atingido",(E11-G11)/$C$6)</f>
        <v>Atingido</v>
      </c>
    </row>
    <row r="12" spans="2:14" ht="16.2" customHeight="1" x14ac:dyDescent="0.25">
      <c r="B12" s="19" t="s">
        <v>13</v>
      </c>
      <c r="C12" s="21">
        <v>180000</v>
      </c>
      <c r="D12" s="22"/>
      <c r="E12" s="21">
        <f>C12*$E$9</f>
        <v>72000</v>
      </c>
      <c r="F12" s="22"/>
      <c r="G12" s="23">
        <v>130000</v>
      </c>
      <c r="H12" s="22"/>
      <c r="I12" s="24">
        <f t="shared" si="0"/>
        <v>1.8055555555555556</v>
      </c>
      <c r="J12" s="22"/>
      <c r="K12" s="27" t="str">
        <f t="shared" si="1"/>
        <v>Atingido</v>
      </c>
      <c r="L12" s="27" t="str">
        <f t="shared" si="2"/>
        <v>Atingido</v>
      </c>
    </row>
    <row r="13" spans="2:14" ht="16.2" customHeight="1" x14ac:dyDescent="0.25">
      <c r="B13" s="19" t="s">
        <v>2</v>
      </c>
      <c r="C13" s="21">
        <v>750000</v>
      </c>
      <c r="D13" s="22"/>
      <c r="E13" s="21">
        <f>C13*$E$9</f>
        <v>300000</v>
      </c>
      <c r="F13" s="22"/>
      <c r="G13" s="23">
        <v>40000</v>
      </c>
      <c r="H13" s="22"/>
      <c r="I13" s="24">
        <f t="shared" si="0"/>
        <v>0.13333333333333333</v>
      </c>
      <c r="J13" s="22"/>
      <c r="K13" s="27">
        <f t="shared" si="1"/>
        <v>28888.888888888891</v>
      </c>
      <c r="L13" s="27">
        <f t="shared" si="2"/>
        <v>165454.54545454547</v>
      </c>
      <c r="N13" s="20"/>
    </row>
    <row r="14" spans="2:14" ht="16.2" customHeight="1" x14ac:dyDescent="0.25">
      <c r="B14" s="19" t="s">
        <v>3</v>
      </c>
      <c r="C14" s="21">
        <v>48000</v>
      </c>
      <c r="D14" s="22"/>
      <c r="E14" s="21">
        <f>C14*$E$9</f>
        <v>19200</v>
      </c>
      <c r="F14" s="22"/>
      <c r="G14" s="23">
        <v>60000</v>
      </c>
      <c r="H14" s="22"/>
      <c r="I14" s="24">
        <f t="shared" si="0"/>
        <v>3.125</v>
      </c>
      <c r="J14" s="22"/>
      <c r="K14" s="27" t="str">
        <f t="shared" si="1"/>
        <v>Atingido</v>
      </c>
      <c r="L14" s="27" t="str">
        <f t="shared" si="2"/>
        <v>Atingido</v>
      </c>
    </row>
    <row r="15" spans="2:14" ht="16.2" customHeight="1" x14ac:dyDescent="0.25">
      <c r="B15" s="19" t="s">
        <v>4</v>
      </c>
      <c r="C15" s="21">
        <v>3098</v>
      </c>
      <c r="D15" s="22"/>
      <c r="E15" s="21">
        <f>C15*$E$9</f>
        <v>1239.2</v>
      </c>
      <c r="F15" s="22"/>
      <c r="G15" s="23">
        <v>0</v>
      </c>
      <c r="H15" s="22"/>
      <c r="I15" s="24">
        <f t="shared" si="0"/>
        <v>0</v>
      </c>
      <c r="J15" s="22"/>
      <c r="K15" s="27">
        <f t="shared" si="1"/>
        <v>137.6888888888889</v>
      </c>
      <c r="L15" s="27">
        <f t="shared" si="2"/>
        <v>788.58181818181822</v>
      </c>
    </row>
    <row r="16" spans="2:14" ht="16.2" customHeight="1" x14ac:dyDescent="0.25">
      <c r="B16" s="19" t="s">
        <v>5</v>
      </c>
      <c r="C16" s="21">
        <v>1110</v>
      </c>
      <c r="D16" s="22"/>
      <c r="E16" s="21">
        <f>C16*$E$9</f>
        <v>444</v>
      </c>
      <c r="F16" s="22"/>
      <c r="G16" s="23">
        <v>0</v>
      </c>
      <c r="H16" s="22"/>
      <c r="I16" s="24">
        <f t="shared" si="0"/>
        <v>0</v>
      </c>
      <c r="J16" s="22"/>
      <c r="K16" s="27">
        <f t="shared" si="1"/>
        <v>49.333333333333336</v>
      </c>
      <c r="L16" s="27">
        <f t="shared" si="2"/>
        <v>282.54545454545456</v>
      </c>
    </row>
    <row r="17" spans="2:12" ht="16.2" customHeight="1" x14ac:dyDescent="0.25">
      <c r="B17" s="19" t="s">
        <v>7</v>
      </c>
      <c r="C17" s="21">
        <v>10000</v>
      </c>
      <c r="D17" s="22"/>
      <c r="E17" s="21">
        <f>C17*$E$9</f>
        <v>4000</v>
      </c>
      <c r="F17" s="22"/>
      <c r="G17" s="23">
        <v>2000</v>
      </c>
      <c r="H17" s="22"/>
      <c r="I17" s="24">
        <f t="shared" si="0"/>
        <v>0.5</v>
      </c>
      <c r="J17" s="22"/>
      <c r="K17" s="27">
        <f t="shared" si="1"/>
        <v>222.22222222222223</v>
      </c>
      <c r="L17" s="27">
        <f t="shared" si="2"/>
        <v>1272.7272727272727</v>
      </c>
    </row>
    <row r="18" spans="2:12" ht="16.2" customHeight="1" x14ac:dyDescent="0.25">
      <c r="B18" s="19" t="s">
        <v>6</v>
      </c>
      <c r="C18" s="21">
        <v>200</v>
      </c>
      <c r="D18" s="22"/>
      <c r="E18" s="21">
        <f>C18*$E$9</f>
        <v>80</v>
      </c>
      <c r="F18" s="22"/>
      <c r="G18" s="23">
        <v>300</v>
      </c>
      <c r="H18" s="22"/>
      <c r="I18" s="24">
        <f t="shared" si="0"/>
        <v>3.75</v>
      </c>
      <c r="J18" s="22"/>
      <c r="K18" s="27" t="str">
        <f t="shared" si="1"/>
        <v>Atingido</v>
      </c>
      <c r="L18" s="27" t="str">
        <f t="shared" si="2"/>
        <v>Atingido</v>
      </c>
    </row>
  </sheetData>
  <mergeCells count="3">
    <mergeCell ref="K6:L7"/>
    <mergeCell ref="G6:G7"/>
    <mergeCell ref="E2:L4"/>
  </mergeCells>
  <conditionalFormatting sqref="I10:I18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K10:L18">
    <cfRule type="cellIs" dxfId="0" priority="1" operator="equal">
      <formula>"Atingido"</formula>
    </cfRule>
  </conditionalFormatting>
  <pageMargins left="0.511811024" right="0.511811024" top="0.78740157499999996" bottom="0.78740157499999996" header="0.31496062000000002" footer="0.31496062000000002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Stephany Guimarães</dc:creator>
  <cp:lastModifiedBy>Stephany Guimarães</cp:lastModifiedBy>
  <dcterms:created xsi:type="dcterms:W3CDTF">2025-05-20T22:52:24Z</dcterms:created>
  <dcterms:modified xsi:type="dcterms:W3CDTF">2025-05-20T23:35:01Z</dcterms:modified>
</cp:coreProperties>
</file>