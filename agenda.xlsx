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cd90314f6056f/Desktop/Itaú/"/>
    </mc:Choice>
  </mc:AlternateContent>
  <xr:revisionPtr revIDLastSave="220" documentId="8_{E69F125A-38BE-4A57-9726-181458EA853A}" xr6:coauthVersionLast="47" xr6:coauthVersionMax="47" xr10:uidLastSave="{09238A43-279C-4F49-8DED-0405F60A8638}"/>
  <bookViews>
    <workbookView xWindow="-108" yWindow="-108" windowWidth="23256" windowHeight="12456" xr2:uid="{207637E7-67D1-446B-AA7B-B656601F7409}"/>
  </bookViews>
  <sheets>
    <sheet name="Consórcio" sheetId="2" r:id="rId1"/>
    <sheet name="Clientes e Leads" sheetId="1" r:id="rId2"/>
  </sheets>
  <definedNames>
    <definedName name="_xlnm._FilterDatabase" localSheetId="1" hidden="1">'Clientes e Leads'!$B$4:$J$4</definedName>
    <definedName name="_xlnm._FilterDatabase" localSheetId="0" hidden="1">Consórcio!$B$4:$F$4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H12" i="1"/>
  <c r="I12" i="1" s="1"/>
  <c r="J13" i="1"/>
  <c r="H13" i="1"/>
  <c r="I13" i="1" s="1"/>
  <c r="H11" i="1"/>
  <c r="J11" i="1" s="1"/>
  <c r="J10" i="1"/>
  <c r="I10" i="1"/>
  <c r="H10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H6" i="1"/>
  <c r="J6" i="1" s="1"/>
  <c r="H7" i="1"/>
  <c r="J7" i="1" s="1"/>
  <c r="H8" i="1"/>
  <c r="J8" i="1" s="1"/>
  <c r="H9" i="1"/>
  <c r="J9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5" i="1"/>
  <c r="I5" i="1" s="1"/>
  <c r="I11" i="1" l="1"/>
  <c r="I8" i="1"/>
  <c r="J15" i="1"/>
  <c r="J14" i="1"/>
  <c r="I9" i="1"/>
  <c r="J16" i="1"/>
  <c r="J18" i="1"/>
  <c r="J17" i="1"/>
  <c r="I7" i="1"/>
  <c r="I6" i="1"/>
  <c r="J5" i="1"/>
</calcChain>
</file>

<file path=xl/sharedStrings.xml><?xml version="1.0" encoding="utf-8"?>
<sst xmlns="http://schemas.openxmlformats.org/spreadsheetml/2006/main" count="55" uniqueCount="35">
  <si>
    <t>Nome do Cliente</t>
  </si>
  <si>
    <t>Assunto:</t>
  </si>
  <si>
    <t>OP</t>
  </si>
  <si>
    <t>Consórcio</t>
  </si>
  <si>
    <t>Agência/Conta</t>
  </si>
  <si>
    <t>Lead:</t>
  </si>
  <si>
    <t>Data contato:</t>
  </si>
  <si>
    <t>Novo cont</t>
  </si>
  <si>
    <t>Status</t>
  </si>
  <si>
    <t>Em negociação</t>
  </si>
  <si>
    <t>Comentário</t>
  </si>
  <si>
    <t>Clientes e Leads</t>
  </si>
  <si>
    <t>Quente</t>
  </si>
  <si>
    <t>Frio</t>
  </si>
  <si>
    <t>Relacionamento</t>
  </si>
  <si>
    <t>Mariucha - 202408</t>
  </si>
  <si>
    <t>Casio Júnior De Souza</t>
  </si>
  <si>
    <t>PIC</t>
  </si>
  <si>
    <t>Diego O.</t>
  </si>
  <si>
    <t>Observação</t>
  </si>
  <si>
    <t>Moto eletrica - 10k - 200 parcela</t>
  </si>
  <si>
    <t>Humberto</t>
  </si>
  <si>
    <t>Cancelar PIC</t>
  </si>
  <si>
    <t>Pós venda - Consórcio</t>
  </si>
  <si>
    <t>Assembleia</t>
  </si>
  <si>
    <t>Carta:</t>
  </si>
  <si>
    <t>Robinson</t>
  </si>
  <si>
    <t>Data de vencimento</t>
  </si>
  <si>
    <t>Paulo</t>
  </si>
  <si>
    <t>Seguro auto</t>
  </si>
  <si>
    <t>Jailson</t>
  </si>
  <si>
    <t>Jose</t>
  </si>
  <si>
    <t xml:space="preserve"> Jeferson Santos</t>
  </si>
  <si>
    <t>Seguro renda</t>
  </si>
  <si>
    <t xml:space="preserve"> Júlio 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</si>
</sst>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20"/>
      <color theme="0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9CAD-89A1-472F-B1BB-3E7215DD9ACC}">
  <dimension ref="B2:F45"/>
  <sheetViews>
    <sheetView showGridLines="0" tabSelected="1" zoomScale="110" zoomScaleNormal="11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1.4" x14ac:dyDescent="0.3"/>
  <cols>
    <col min="1" max="1" width="2.44140625" style="1" customWidth="1"/>
    <col min="2" max="2" width="16" style="1" customWidth="1"/>
    <col min="3" max="3" width="29.88671875" style="1" customWidth="1"/>
    <col min="4" max="6" width="20.5546875" style="1" customWidth="1"/>
    <col min="7" max="16384" width="8.88671875" style="1"/>
  </cols>
  <sheetData>
    <row r="2" spans="2:6" ht="28.2" customHeight="1" x14ac:dyDescent="0.3">
      <c r="B2" s="11" t="s">
        <v>23</v>
      </c>
      <c r="C2" s="12"/>
      <c r="D2" s="12"/>
      <c r="E2" s="12"/>
      <c r="F2" s="12"/>
    </row>
    <row r="3" spans="2:6" ht="4.2" customHeight="1" x14ac:dyDescent="0.3"/>
    <row r="4" spans="2:6" ht="15.6" customHeight="1" x14ac:dyDescent="0.3">
      <c r="B4" s="5" t="s">
        <v>4</v>
      </c>
      <c r="C4" s="5" t="s">
        <v>0</v>
      </c>
      <c r="D4" s="5" t="s">
        <v>25</v>
      </c>
      <c r="E4" s="5" t="s">
        <v>27</v>
      </c>
      <c r="F4" s="5" t="s">
        <v>24</v>
      </c>
    </row>
    <row r="5" spans="2:6" ht="14.4" customHeight="1" x14ac:dyDescent="0.3">
      <c r="B5" s="7"/>
      <c r="C5" s="3" t="s">
        <v>26</v>
      </c>
      <c r="D5" s="10">
        <v>30000</v>
      </c>
      <c r="E5" s="3">
        <v>5</v>
      </c>
      <c r="F5" s="3"/>
    </row>
    <row r="6" spans="2:6" ht="14.4" customHeight="1" x14ac:dyDescent="0.3">
      <c r="B6" s="7"/>
      <c r="C6" s="3"/>
      <c r="D6" s="3"/>
      <c r="E6" s="3"/>
      <c r="F6" s="3"/>
    </row>
    <row r="7" spans="2:6" ht="14.4" customHeight="1" x14ac:dyDescent="0.3">
      <c r="B7" s="7"/>
      <c r="C7" s="3"/>
      <c r="D7" s="3"/>
      <c r="E7" s="3"/>
      <c r="F7" s="3"/>
    </row>
    <row r="8" spans="2:6" ht="14.4" customHeight="1" x14ac:dyDescent="0.3">
      <c r="B8" s="7"/>
      <c r="C8" s="3"/>
      <c r="D8" s="3"/>
      <c r="E8" s="3"/>
      <c r="F8" s="3"/>
    </row>
    <row r="9" spans="2:6" ht="14.4" customHeight="1" x14ac:dyDescent="0.3">
      <c r="B9" s="7"/>
      <c r="C9" s="3"/>
      <c r="D9" s="3"/>
      <c r="E9" s="3"/>
      <c r="F9" s="3"/>
    </row>
    <row r="10" spans="2:6" ht="14.4" customHeight="1" x14ac:dyDescent="0.3">
      <c r="B10" s="7"/>
      <c r="C10" s="3"/>
      <c r="D10" s="3"/>
      <c r="E10" s="3"/>
      <c r="F10" s="3"/>
    </row>
    <row r="11" spans="2:6" ht="14.4" customHeight="1" x14ac:dyDescent="0.3">
      <c r="B11" s="7"/>
      <c r="C11" s="3"/>
      <c r="D11" s="3"/>
      <c r="E11" s="3"/>
      <c r="F11" s="3"/>
    </row>
    <row r="12" spans="2:6" ht="14.4" customHeight="1" x14ac:dyDescent="0.3">
      <c r="B12" s="7"/>
      <c r="C12" s="3"/>
      <c r="D12" s="3"/>
      <c r="E12" s="3"/>
      <c r="F12" s="3"/>
    </row>
    <row r="13" spans="2:6" ht="14.4" customHeight="1" x14ac:dyDescent="0.3">
      <c r="B13" s="7"/>
      <c r="C13" s="3"/>
      <c r="D13" s="3"/>
      <c r="E13" s="3"/>
      <c r="F13" s="3"/>
    </row>
    <row r="14" spans="2:6" ht="14.4" customHeight="1" x14ac:dyDescent="0.3">
      <c r="B14" s="7"/>
      <c r="C14" s="3"/>
      <c r="D14" s="3"/>
      <c r="E14" s="3"/>
      <c r="F14" s="3"/>
    </row>
    <row r="15" spans="2:6" ht="14.4" customHeight="1" x14ac:dyDescent="0.3">
      <c r="B15" s="7"/>
      <c r="C15" s="3"/>
      <c r="D15" s="3"/>
      <c r="E15" s="3"/>
      <c r="F15" s="3"/>
    </row>
    <row r="16" spans="2:6" ht="14.4" customHeight="1" x14ac:dyDescent="0.3">
      <c r="B16" s="7"/>
      <c r="C16" s="3"/>
      <c r="D16" s="3"/>
      <c r="E16" s="3"/>
      <c r="F16" s="3"/>
    </row>
    <row r="17" spans="2:6" ht="14.4" customHeight="1" x14ac:dyDescent="0.3">
      <c r="B17" s="7"/>
      <c r="C17" s="3"/>
      <c r="D17" s="3"/>
      <c r="E17" s="3"/>
      <c r="F17" s="3"/>
    </row>
    <row r="18" spans="2:6" ht="14.4" customHeight="1" x14ac:dyDescent="0.3">
      <c r="B18" s="7"/>
      <c r="C18" s="3"/>
      <c r="D18" s="3"/>
      <c r="E18" s="3"/>
      <c r="F18" s="3"/>
    </row>
    <row r="19" spans="2:6" ht="14.4" customHeight="1" x14ac:dyDescent="0.3">
      <c r="B19" s="7"/>
      <c r="C19" s="3"/>
      <c r="D19" s="3"/>
      <c r="E19" s="3"/>
      <c r="F19" s="3"/>
    </row>
    <row r="20" spans="2:6" ht="14.4" customHeight="1" x14ac:dyDescent="0.3">
      <c r="B20" s="7"/>
      <c r="C20" s="3"/>
      <c r="D20" s="3"/>
      <c r="E20" s="3"/>
      <c r="F20" s="3"/>
    </row>
    <row r="21" spans="2:6" ht="14.4" customHeight="1" x14ac:dyDescent="0.3">
      <c r="B21" s="7"/>
      <c r="C21" s="3"/>
      <c r="D21" s="3"/>
      <c r="E21" s="3"/>
      <c r="F21" s="3"/>
    </row>
    <row r="22" spans="2:6" ht="14.4" customHeight="1" x14ac:dyDescent="0.3">
      <c r="B22" s="7"/>
      <c r="C22" s="3"/>
      <c r="D22" s="3"/>
      <c r="E22" s="3"/>
      <c r="F22" s="3"/>
    </row>
    <row r="23" spans="2:6" ht="14.4" customHeight="1" x14ac:dyDescent="0.3">
      <c r="B23" s="7"/>
      <c r="C23" s="3"/>
      <c r="D23" s="3"/>
      <c r="E23" s="3"/>
      <c r="F23" s="3"/>
    </row>
    <row r="24" spans="2:6" ht="14.4" customHeight="1" x14ac:dyDescent="0.3">
      <c r="B24" s="7"/>
      <c r="C24" s="3"/>
      <c r="D24" s="3"/>
      <c r="E24" s="3"/>
      <c r="F24" s="3"/>
    </row>
    <row r="25" spans="2:6" ht="14.4" customHeight="1" x14ac:dyDescent="0.3">
      <c r="B25" s="7"/>
      <c r="C25" s="3"/>
      <c r="D25" s="3"/>
      <c r="E25" s="3"/>
      <c r="F25" s="3"/>
    </row>
    <row r="26" spans="2:6" ht="14.4" customHeight="1" x14ac:dyDescent="0.3">
      <c r="B26" s="7"/>
      <c r="C26" s="3"/>
      <c r="D26" s="3"/>
      <c r="E26" s="3"/>
      <c r="F26" s="3"/>
    </row>
    <row r="27" spans="2:6" ht="14.4" customHeight="1" x14ac:dyDescent="0.3">
      <c r="B27" s="7"/>
      <c r="C27" s="3"/>
      <c r="D27" s="3"/>
      <c r="E27" s="3"/>
      <c r="F27" s="3"/>
    </row>
    <row r="28" spans="2:6" ht="14.4" customHeight="1" x14ac:dyDescent="0.3">
      <c r="B28" s="7"/>
      <c r="C28" s="3"/>
      <c r="D28" s="3"/>
      <c r="E28" s="3"/>
      <c r="F28" s="3"/>
    </row>
    <row r="29" spans="2:6" ht="14.4" customHeight="1" x14ac:dyDescent="0.3">
      <c r="B29" s="7"/>
      <c r="C29" s="3"/>
      <c r="D29" s="3"/>
      <c r="E29" s="3"/>
      <c r="F29" s="3"/>
    </row>
    <row r="30" spans="2:6" ht="14.4" customHeight="1" x14ac:dyDescent="0.3">
      <c r="B30" s="7"/>
      <c r="C30" s="3"/>
      <c r="D30" s="3"/>
      <c r="E30" s="3"/>
      <c r="F30" s="3"/>
    </row>
    <row r="31" spans="2:6" ht="14.4" customHeight="1" x14ac:dyDescent="0.3">
      <c r="B31" s="7"/>
      <c r="C31" s="3"/>
      <c r="D31" s="3"/>
      <c r="E31" s="3"/>
      <c r="F31" s="3"/>
    </row>
    <row r="32" spans="2:6" ht="14.4" customHeight="1" x14ac:dyDescent="0.3">
      <c r="B32" s="7"/>
      <c r="C32" s="3"/>
      <c r="D32" s="3"/>
      <c r="E32" s="3"/>
      <c r="F32" s="3"/>
    </row>
    <row r="33" spans="2:6" ht="14.4" customHeight="1" x14ac:dyDescent="0.3">
      <c r="B33" s="7"/>
      <c r="C33" s="3"/>
      <c r="D33" s="3"/>
      <c r="E33" s="3"/>
      <c r="F33" s="3"/>
    </row>
    <row r="34" spans="2:6" ht="14.4" customHeight="1" x14ac:dyDescent="0.3">
      <c r="B34" s="7"/>
      <c r="C34" s="3"/>
      <c r="D34" s="3"/>
      <c r="E34" s="3"/>
      <c r="F34" s="3"/>
    </row>
    <row r="35" spans="2:6" ht="14.4" customHeight="1" x14ac:dyDescent="0.3">
      <c r="B35" s="7"/>
      <c r="C35" s="3"/>
      <c r="D35" s="3"/>
      <c r="E35" s="3"/>
      <c r="F35" s="3"/>
    </row>
    <row r="36" spans="2:6" ht="14.4" customHeight="1" x14ac:dyDescent="0.3">
      <c r="B36" s="7"/>
      <c r="C36" s="3"/>
      <c r="D36" s="3"/>
      <c r="E36" s="3"/>
      <c r="F36" s="3"/>
    </row>
    <row r="37" spans="2:6" ht="14.4" customHeight="1" x14ac:dyDescent="0.3">
      <c r="B37" s="7"/>
      <c r="C37" s="3"/>
      <c r="D37" s="3"/>
      <c r="E37" s="3"/>
      <c r="F37" s="3"/>
    </row>
    <row r="38" spans="2:6" ht="14.4" customHeight="1" x14ac:dyDescent="0.3">
      <c r="B38" s="7"/>
      <c r="C38" s="3"/>
      <c r="D38" s="3"/>
      <c r="E38" s="3"/>
      <c r="F38" s="3"/>
    </row>
    <row r="39" spans="2:6" ht="14.4" customHeight="1" x14ac:dyDescent="0.3">
      <c r="B39" s="7"/>
      <c r="C39" s="3"/>
      <c r="D39" s="3"/>
      <c r="E39" s="3"/>
      <c r="F39" s="3"/>
    </row>
    <row r="40" spans="2:6" ht="14.4" customHeight="1" x14ac:dyDescent="0.3">
      <c r="B40" s="7"/>
      <c r="C40" s="3"/>
      <c r="D40" s="3"/>
      <c r="E40" s="3"/>
      <c r="F40" s="3"/>
    </row>
    <row r="41" spans="2:6" ht="14.4" customHeight="1" x14ac:dyDescent="0.3">
      <c r="B41" s="7"/>
      <c r="C41" s="3"/>
      <c r="D41" s="3"/>
      <c r="E41" s="3"/>
      <c r="F41" s="3"/>
    </row>
    <row r="42" spans="2:6" ht="14.4" customHeight="1" x14ac:dyDescent="0.3">
      <c r="B42" s="7"/>
      <c r="C42" s="3"/>
      <c r="D42" s="3"/>
      <c r="E42" s="3"/>
      <c r="F42" s="3"/>
    </row>
    <row r="43" spans="2:6" ht="14.4" customHeight="1" x14ac:dyDescent="0.3">
      <c r="B43" s="7"/>
      <c r="C43" s="3"/>
      <c r="D43" s="3"/>
      <c r="E43" s="3"/>
      <c r="F43" s="3"/>
    </row>
    <row r="44" spans="2:6" ht="14.4" customHeight="1" x14ac:dyDescent="0.3">
      <c r="B44" s="7"/>
      <c r="C44" s="3"/>
      <c r="D44" s="3"/>
      <c r="E44" s="3"/>
      <c r="F44" s="3"/>
    </row>
    <row r="45" spans="2:6" ht="14.4" customHeight="1" x14ac:dyDescent="0.3">
      <c r="B45" s="7"/>
      <c r="C45" s="3"/>
      <c r="D45" s="3"/>
      <c r="E45" s="3"/>
      <c r="F45" s="3"/>
    </row>
  </sheetData>
  <autoFilter ref="B4:F4" xr:uid="{9468C245-A280-4F44-86AD-CE6D3960B496}"/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C245-A280-4F44-86AD-CE6D3960B496}">
  <dimension ref="B2:K45"/>
  <sheetViews>
    <sheetView showGridLines="0" zoomScale="110" zoomScaleNormal="110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1.4" x14ac:dyDescent="0.3"/>
  <cols>
    <col min="1" max="1" width="2.44140625" style="1" customWidth="1"/>
    <col min="2" max="2" width="16" style="1" customWidth="1"/>
    <col min="3" max="3" width="29.88671875" style="1" customWidth="1"/>
    <col min="4" max="4" width="15.77734375" style="1" customWidth="1"/>
    <col min="5" max="5" width="8.88671875" style="1"/>
    <col min="6" max="6" width="16.88671875" style="1" customWidth="1"/>
    <col min="7" max="8" width="13.21875" style="2" customWidth="1"/>
    <col min="9" max="9" width="4" style="2" customWidth="1"/>
    <col min="10" max="10" width="22.5546875" style="1" customWidth="1"/>
    <col min="11" max="11" width="29.88671875" style="1" customWidth="1"/>
    <col min="12" max="16384" width="8.88671875" style="1"/>
  </cols>
  <sheetData>
    <row r="2" spans="2:11" ht="28.2" customHeight="1" x14ac:dyDescent="0.3">
      <c r="B2" s="11" t="s">
        <v>11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ht="4.2" customHeight="1" x14ac:dyDescent="0.3"/>
    <row r="4" spans="2:11" ht="15.6" customHeight="1" x14ac:dyDescent="0.3">
      <c r="B4" s="5" t="s">
        <v>4</v>
      </c>
      <c r="C4" s="5" t="s">
        <v>0</v>
      </c>
      <c r="D4" s="5" t="s">
        <v>1</v>
      </c>
      <c r="E4" s="5" t="s">
        <v>5</v>
      </c>
      <c r="F4" s="5" t="s">
        <v>8</v>
      </c>
      <c r="G4" s="6" t="s">
        <v>6</v>
      </c>
      <c r="H4" s="13" t="s">
        <v>7</v>
      </c>
      <c r="I4" s="13"/>
      <c r="J4" s="5" t="s">
        <v>10</v>
      </c>
      <c r="K4" s="5" t="s">
        <v>19</v>
      </c>
    </row>
    <row r="5" spans="2:11" ht="14.4" customHeight="1" x14ac:dyDescent="0.3">
      <c r="B5" s="7"/>
      <c r="C5" s="3" t="s">
        <v>15</v>
      </c>
      <c r="D5" s="3" t="s">
        <v>2</v>
      </c>
      <c r="E5" s="3" t="s">
        <v>12</v>
      </c>
      <c r="F5" s="3" t="s">
        <v>9</v>
      </c>
      <c r="G5" s="4">
        <v>45849</v>
      </c>
      <c r="H5" s="8">
        <f>IF(G5="","",IF(F5="em negociação",IF(OR(WEEKDAY(G5+6,2)=6,WEEKDAY(G5+6,2)=7),G5+6-WEEKDAY(G5+6,2)+5,G5+6),
IF(F5="relacionamento",IF(OR(WEEKDAY(G5+1,2)=6,WEEKDAY(G5+1,2)=7),G5+1-WEEKDAY(G5+1,2)+5,G5+1),
IF(F5="não localizado",IF(OR(WEEKDAY(G5+1,2)=6,WEEKDAY(G5+1,2)=7),G5+1-WEEKDAY(G5+1,2)+5,G5+1),
"-"))))</f>
        <v>45855</v>
      </c>
      <c r="I5" s="8" t="str">
        <f>TEXT(H5,"ddd")</f>
        <v>qui</v>
      </c>
      <c r="J5" s="9" t="str">
        <f ca="1">IFERROR(IF(F5="", "",
IF(OR(F5="recusou", F5="aceitou"), "-",
IF(H5&lt;TODAY(), "Em atraso ❗",
IF(H5-TODAY()=1, "Vence amanhã 🕘",
IF(AND(H5-TODAY()&gt;=2, H5-TODAY()&lt;=3), "Se preparar para contato ⚠️",
"Em dia ✅"))))),"-")</f>
        <v>Em atraso ❗</v>
      </c>
      <c r="K5" s="3"/>
    </row>
    <row r="6" spans="2:11" ht="14.4" customHeight="1" x14ac:dyDescent="0.3">
      <c r="B6" s="7"/>
      <c r="C6" s="3" t="s">
        <v>16</v>
      </c>
      <c r="D6" s="3" t="s">
        <v>17</v>
      </c>
      <c r="E6" s="3" t="s">
        <v>12</v>
      </c>
      <c r="F6" s="3" t="s">
        <v>9</v>
      </c>
      <c r="G6" s="4">
        <v>45838</v>
      </c>
      <c r="H6" s="8">
        <f t="shared" ref="H6:H45" si="0">IF(G6="","",IF(F6="em negociação",IF(OR(WEEKDAY(G6+6,2)=6,WEEKDAY(G6+6,2)=7),G6+6-WEEKDAY(G6+6,2)+5,G6+6),
IF(F6="relacionamento",IF(OR(WEEKDAY(G6+1,2)=6,WEEKDAY(G6+1,2)=7),G6+1-WEEKDAY(G6+1,2)+5,G6+1),
IF(F6="não localizado",IF(OR(WEEKDAY(G6+1,2)=6,WEEKDAY(G6+1,2)=7),G6+1-WEEKDAY(G6+1,2)+5,G6+1),
"-"))))</f>
        <v>45842</v>
      </c>
      <c r="I6" s="8" t="str">
        <f t="shared" ref="I6:I45" si="1">TEXT(H6,"ddd")</f>
        <v>sex</v>
      </c>
      <c r="J6" s="9" t="str">
        <f t="shared" ref="J6:J45" ca="1" si="2">IFERROR(IF(F6="", "",
IF(OR(F6="recusou", F6="aceitou"), "-",
IF(H6&lt;TODAY(), "Em atraso ❗",
IF(H6-TODAY()=1, "Vence amanhã 🕘",
IF(AND(H6-TODAY()&gt;=2, H6-TODAY()&lt;=3), "Se preparar para contato ⚠️",
"Em dia ✅"))))),"-")</f>
        <v>Em atraso ❗</v>
      </c>
      <c r="K6" s="3"/>
    </row>
    <row r="7" spans="2:11" ht="14.4" customHeight="1" x14ac:dyDescent="0.3">
      <c r="B7" s="7"/>
      <c r="C7" s="3" t="s">
        <v>18</v>
      </c>
      <c r="D7" s="3" t="s">
        <v>3</v>
      </c>
      <c r="E7" s="3" t="s">
        <v>12</v>
      </c>
      <c r="F7" s="3" t="s">
        <v>9</v>
      </c>
      <c r="G7" s="4">
        <v>45849</v>
      </c>
      <c r="H7" s="8">
        <f t="shared" si="0"/>
        <v>45855</v>
      </c>
      <c r="I7" s="8" t="str">
        <f t="shared" si="1"/>
        <v>qui</v>
      </c>
      <c r="J7" s="9" t="str">
        <f t="shared" ca="1" si="2"/>
        <v>Em atraso ❗</v>
      </c>
      <c r="K7" s="3" t="s">
        <v>20</v>
      </c>
    </row>
    <row r="8" spans="2:11" ht="14.4" customHeight="1" x14ac:dyDescent="0.3">
      <c r="B8" s="7"/>
      <c r="C8" s="3" t="s">
        <v>21</v>
      </c>
      <c r="D8" s="3" t="s">
        <v>17</v>
      </c>
      <c r="E8" s="3" t="s">
        <v>13</v>
      </c>
      <c r="F8" s="3" t="s">
        <v>14</v>
      </c>
      <c r="G8" s="4">
        <v>45849</v>
      </c>
      <c r="H8" s="8">
        <f t="shared" si="0"/>
        <v>45849</v>
      </c>
      <c r="I8" s="8" t="str">
        <f t="shared" si="1"/>
        <v>sex</v>
      </c>
      <c r="J8" s="9" t="str">
        <f t="shared" ca="1" si="2"/>
        <v>Em atraso ❗</v>
      </c>
      <c r="K8" s="3" t="s">
        <v>22</v>
      </c>
    </row>
    <row r="9" spans="2:11" ht="14.4" customHeight="1" x14ac:dyDescent="0.3">
      <c r="B9" s="7"/>
      <c r="C9" s="3" t="s">
        <v>28</v>
      </c>
      <c r="D9" s="3" t="s">
        <v>29</v>
      </c>
      <c r="E9" s="3" t="s">
        <v>12</v>
      </c>
      <c r="F9" s="3" t="s">
        <v>9</v>
      </c>
      <c r="G9" s="4">
        <v>45849</v>
      </c>
      <c r="H9" s="8">
        <f t="shared" si="0"/>
        <v>45855</v>
      </c>
      <c r="I9" s="8" t="str">
        <f t="shared" si="1"/>
        <v>qui</v>
      </c>
      <c r="J9" s="9" t="str">
        <f t="shared" ca="1" si="2"/>
        <v>Em atraso ❗</v>
      </c>
      <c r="K9" s="3"/>
    </row>
    <row r="10" spans="2:11" ht="14.4" customHeight="1" x14ac:dyDescent="0.3">
      <c r="B10" s="7"/>
      <c r="C10" s="3" t="s">
        <v>30</v>
      </c>
      <c r="D10" s="3" t="s">
        <v>3</v>
      </c>
      <c r="E10" s="3" t="s">
        <v>12</v>
      </c>
      <c r="F10" s="3" t="s">
        <v>9</v>
      </c>
      <c r="G10" s="4">
        <v>45849</v>
      </c>
      <c r="H10" s="8">
        <f t="shared" ref="H10:H11" si="3">IF(G10="","",IF(F10="em negociação",IF(OR(WEEKDAY(G10+6,2)=6,WEEKDAY(G10+6,2)=7),G10+6-WEEKDAY(G10+6,2)+5,G10+6),
IF(F10="relacionamento",IF(OR(WEEKDAY(G10+1,2)=6,WEEKDAY(G10+1,2)=7),G10+1-WEEKDAY(G10+1,2)+5,G10+1),
IF(F10="não localizado",IF(OR(WEEKDAY(G10+1,2)=6,WEEKDAY(G10+1,2)=7),G10+1-WEEKDAY(G10+1,2)+5,G10+1),
"-"))))</f>
        <v>45855</v>
      </c>
      <c r="I10" s="8" t="str">
        <f t="shared" ref="I10:I11" si="4">TEXT(H10,"ddd")</f>
        <v>qui</v>
      </c>
      <c r="J10" s="9" t="str">
        <f t="shared" ref="J10:J11" ca="1" si="5">IFERROR(IF(F10="", "",
IF(OR(F10="recusou", F10="aceitou"), "-",
IF(H10&lt;TODAY(), "Em atraso ❗",
IF(H10-TODAY()=1, "Vence amanhã 🕘",
IF(AND(H10-TODAY()&gt;=2, H10-TODAY()&lt;=3), "Se preparar para contato ⚠️",
"Em dia ✅"))))),"-")</f>
        <v>Em atraso ❗</v>
      </c>
      <c r="K10" s="3"/>
    </row>
    <row r="11" spans="2:11" ht="14.4" customHeight="1" x14ac:dyDescent="0.3">
      <c r="B11" s="7"/>
      <c r="C11" s="3" t="s">
        <v>31</v>
      </c>
      <c r="D11" s="3" t="s">
        <v>29</v>
      </c>
      <c r="E11" s="3" t="s">
        <v>12</v>
      </c>
      <c r="F11" s="3" t="s">
        <v>9</v>
      </c>
      <c r="G11" s="4">
        <v>45849</v>
      </c>
      <c r="H11" s="8">
        <f t="shared" si="3"/>
        <v>45855</v>
      </c>
      <c r="I11" s="8" t="str">
        <f t="shared" si="4"/>
        <v>qui</v>
      </c>
      <c r="J11" s="9" t="str">
        <f t="shared" ca="1" si="5"/>
        <v>Em atraso ❗</v>
      </c>
      <c r="K11" s="3"/>
    </row>
    <row r="12" spans="2:11" ht="14.4" customHeight="1" x14ac:dyDescent="0.3">
      <c r="B12" s="7"/>
      <c r="C12" s="3" t="s">
        <v>32</v>
      </c>
      <c r="D12" s="3" t="s">
        <v>33</v>
      </c>
      <c r="E12" s="3" t="s">
        <v>12</v>
      </c>
      <c r="F12" s="3" t="s">
        <v>9</v>
      </c>
      <c r="G12" s="4">
        <v>45849</v>
      </c>
      <c r="H12" s="8">
        <f t="shared" ref="H12" si="6">IF(G12="","",IF(F12="em negociação",IF(OR(WEEKDAY(G12+6,2)=6,WEEKDAY(G12+6,2)=7),G12+6-WEEKDAY(G12+6,2)+5,G12+6),
IF(F12="relacionamento",IF(OR(WEEKDAY(G12+1,2)=6,WEEKDAY(G12+1,2)=7),G12+1-WEEKDAY(G12+1,2)+5,G12+1),
IF(F12="não localizado",IF(OR(WEEKDAY(G12+1,2)=6,WEEKDAY(G12+1,2)=7),G12+1-WEEKDAY(G12+1,2)+5,G12+1),
"-"))))</f>
        <v>45855</v>
      </c>
      <c r="I12" s="8" t="str">
        <f t="shared" ref="I12" si="7">TEXT(H12,"ddd")</f>
        <v>qui</v>
      </c>
      <c r="J12" s="9" t="str">
        <f t="shared" ref="J12" ca="1" si="8">IFERROR(IF(F12="", "",
IF(OR(F12="recusou", F12="aceitou"), "-",
IF(H12&lt;TODAY(), "Em atraso ❗",
IF(H12-TODAY()=1, "Vence amanhã 🕘",
IF(AND(H12-TODAY()&gt;=2, H12-TODAY()&lt;=3), "Se preparar para contato ⚠️",
"Em dia ✅"))))),"-")</f>
        <v>Em atraso ❗</v>
      </c>
      <c r="K12" s="3"/>
    </row>
    <row r="13" spans="2:11" ht="14.4" customHeight="1" x14ac:dyDescent="0.3">
      <c r="B13" s="7"/>
      <c r="C13" s="3" t="s">
        <v>34</v>
      </c>
      <c r="D13" s="3" t="s">
        <v>3</v>
      </c>
      <c r="E13" s="3" t="s">
        <v>12</v>
      </c>
      <c r="F13" s="3" t="s">
        <v>9</v>
      </c>
      <c r="G13" s="4">
        <v>45849</v>
      </c>
      <c r="H13" s="8">
        <f t="shared" si="0"/>
        <v>45855</v>
      </c>
      <c r="I13" s="8" t="str">
        <f t="shared" si="1"/>
        <v>qui</v>
      </c>
      <c r="J13" s="9" t="str">
        <f t="shared" ca="1" si="2"/>
        <v>Em atraso ❗</v>
      </c>
      <c r="K13" s="3"/>
    </row>
    <row r="14" spans="2:11" ht="14.4" customHeight="1" x14ac:dyDescent="0.3">
      <c r="B14" s="7"/>
      <c r="C14" s="3"/>
      <c r="D14" s="3"/>
      <c r="E14" s="3"/>
      <c r="F14" s="3"/>
      <c r="G14" s="4"/>
      <c r="H14" s="8" t="str">
        <f t="shared" si="0"/>
        <v/>
      </c>
      <c r="I14" s="8" t="str">
        <f t="shared" si="1"/>
        <v/>
      </c>
      <c r="J14" s="9" t="str">
        <f t="shared" ca="1" si="2"/>
        <v/>
      </c>
      <c r="K14" s="3"/>
    </row>
    <row r="15" spans="2:11" ht="14.4" customHeight="1" x14ac:dyDescent="0.3">
      <c r="B15" s="7"/>
      <c r="C15" s="3"/>
      <c r="D15" s="3"/>
      <c r="E15" s="3"/>
      <c r="F15" s="3"/>
      <c r="G15" s="4"/>
      <c r="H15" s="8" t="str">
        <f t="shared" si="0"/>
        <v/>
      </c>
      <c r="I15" s="8" t="str">
        <f t="shared" si="1"/>
        <v/>
      </c>
      <c r="J15" s="9" t="str">
        <f t="shared" ca="1" si="2"/>
        <v/>
      </c>
      <c r="K15" s="3"/>
    </row>
    <row r="16" spans="2:11" ht="14.4" customHeight="1" x14ac:dyDescent="0.3">
      <c r="B16" s="7"/>
      <c r="C16" s="3"/>
      <c r="D16" s="3"/>
      <c r="E16" s="3"/>
      <c r="F16" s="3"/>
      <c r="G16" s="4"/>
      <c r="H16" s="8" t="str">
        <f t="shared" si="0"/>
        <v/>
      </c>
      <c r="I16" s="8" t="str">
        <f t="shared" si="1"/>
        <v/>
      </c>
      <c r="J16" s="9" t="str">
        <f t="shared" ca="1" si="2"/>
        <v/>
      </c>
      <c r="K16" s="3"/>
    </row>
    <row r="17" spans="2:11" ht="14.4" customHeight="1" x14ac:dyDescent="0.3">
      <c r="B17" s="7"/>
      <c r="C17" s="3"/>
      <c r="D17" s="3"/>
      <c r="E17" s="3"/>
      <c r="F17" s="3"/>
      <c r="G17" s="4"/>
      <c r="H17" s="8" t="str">
        <f t="shared" si="0"/>
        <v/>
      </c>
      <c r="I17" s="8" t="str">
        <f t="shared" si="1"/>
        <v/>
      </c>
      <c r="J17" s="9" t="str">
        <f t="shared" ca="1" si="2"/>
        <v/>
      </c>
      <c r="K17" s="3"/>
    </row>
    <row r="18" spans="2:11" ht="14.4" customHeight="1" x14ac:dyDescent="0.3">
      <c r="B18" s="7"/>
      <c r="C18" s="3"/>
      <c r="D18" s="3"/>
      <c r="E18" s="3"/>
      <c r="F18" s="3"/>
      <c r="G18" s="4"/>
      <c r="H18" s="8" t="str">
        <f t="shared" si="0"/>
        <v/>
      </c>
      <c r="I18" s="8" t="str">
        <f t="shared" si="1"/>
        <v/>
      </c>
      <c r="J18" s="9" t="str">
        <f t="shared" ca="1" si="2"/>
        <v/>
      </c>
      <c r="K18" s="3"/>
    </row>
    <row r="19" spans="2:11" ht="14.4" customHeight="1" x14ac:dyDescent="0.3">
      <c r="B19" s="7"/>
      <c r="C19" s="3"/>
      <c r="D19" s="3"/>
      <c r="E19" s="3"/>
      <c r="F19" s="3"/>
      <c r="G19" s="4"/>
      <c r="H19" s="8" t="str">
        <f t="shared" si="0"/>
        <v/>
      </c>
      <c r="I19" s="8" t="str">
        <f t="shared" si="1"/>
        <v/>
      </c>
      <c r="J19" s="9" t="str">
        <f t="shared" ca="1" si="2"/>
        <v/>
      </c>
      <c r="K19" s="3"/>
    </row>
    <row r="20" spans="2:11" ht="14.4" customHeight="1" x14ac:dyDescent="0.3">
      <c r="B20" s="7"/>
      <c r="C20" s="3"/>
      <c r="D20" s="3"/>
      <c r="E20" s="3"/>
      <c r="F20" s="3"/>
      <c r="G20" s="4"/>
      <c r="H20" s="8" t="str">
        <f t="shared" si="0"/>
        <v/>
      </c>
      <c r="I20" s="8" t="str">
        <f t="shared" si="1"/>
        <v/>
      </c>
      <c r="J20" s="9" t="str">
        <f t="shared" ca="1" si="2"/>
        <v/>
      </c>
      <c r="K20" s="3"/>
    </row>
    <row r="21" spans="2:11" ht="14.4" customHeight="1" x14ac:dyDescent="0.3">
      <c r="B21" s="7"/>
      <c r="C21" s="3"/>
      <c r="D21" s="3"/>
      <c r="E21" s="3"/>
      <c r="F21" s="3"/>
      <c r="G21" s="4"/>
      <c r="H21" s="8" t="str">
        <f t="shared" si="0"/>
        <v/>
      </c>
      <c r="I21" s="8" t="str">
        <f t="shared" si="1"/>
        <v/>
      </c>
      <c r="J21" s="9" t="str">
        <f t="shared" ca="1" si="2"/>
        <v/>
      </c>
      <c r="K21" s="3"/>
    </row>
    <row r="22" spans="2:11" ht="14.4" customHeight="1" x14ac:dyDescent="0.3">
      <c r="B22" s="7"/>
      <c r="C22" s="3"/>
      <c r="D22" s="3"/>
      <c r="E22" s="3"/>
      <c r="F22" s="3"/>
      <c r="G22" s="4"/>
      <c r="H22" s="8" t="str">
        <f t="shared" si="0"/>
        <v/>
      </c>
      <c r="I22" s="8" t="str">
        <f t="shared" si="1"/>
        <v/>
      </c>
      <c r="J22" s="9" t="str">
        <f t="shared" ca="1" si="2"/>
        <v/>
      </c>
      <c r="K22" s="3"/>
    </row>
    <row r="23" spans="2:11" ht="14.4" customHeight="1" x14ac:dyDescent="0.3">
      <c r="B23" s="7"/>
      <c r="C23" s="3"/>
      <c r="D23" s="3"/>
      <c r="E23" s="3"/>
      <c r="F23" s="3"/>
      <c r="G23" s="4"/>
      <c r="H23" s="8" t="str">
        <f t="shared" si="0"/>
        <v/>
      </c>
      <c r="I23" s="8" t="str">
        <f t="shared" si="1"/>
        <v/>
      </c>
      <c r="J23" s="9" t="str">
        <f t="shared" ca="1" si="2"/>
        <v/>
      </c>
      <c r="K23" s="3"/>
    </row>
    <row r="24" spans="2:11" ht="14.4" customHeight="1" x14ac:dyDescent="0.3">
      <c r="B24" s="7"/>
      <c r="C24" s="3"/>
      <c r="D24" s="3"/>
      <c r="E24" s="3"/>
      <c r="F24" s="3"/>
      <c r="G24" s="4"/>
      <c r="H24" s="8" t="str">
        <f t="shared" si="0"/>
        <v/>
      </c>
      <c r="I24" s="8" t="str">
        <f t="shared" si="1"/>
        <v/>
      </c>
      <c r="J24" s="9" t="str">
        <f t="shared" ca="1" si="2"/>
        <v/>
      </c>
      <c r="K24" s="3"/>
    </row>
    <row r="25" spans="2:11" ht="14.4" customHeight="1" x14ac:dyDescent="0.3">
      <c r="B25" s="7"/>
      <c r="C25" s="3"/>
      <c r="D25" s="3"/>
      <c r="E25" s="3"/>
      <c r="F25" s="3"/>
      <c r="G25" s="4"/>
      <c r="H25" s="8" t="str">
        <f t="shared" si="0"/>
        <v/>
      </c>
      <c r="I25" s="8" t="str">
        <f t="shared" si="1"/>
        <v/>
      </c>
      <c r="J25" s="9" t="str">
        <f t="shared" ca="1" si="2"/>
        <v/>
      </c>
      <c r="K25" s="3"/>
    </row>
    <row r="26" spans="2:11" ht="14.4" customHeight="1" x14ac:dyDescent="0.3">
      <c r="B26" s="7"/>
      <c r="C26" s="3"/>
      <c r="D26" s="3"/>
      <c r="E26" s="3"/>
      <c r="F26" s="3"/>
      <c r="G26" s="4"/>
      <c r="H26" s="8" t="str">
        <f t="shared" si="0"/>
        <v/>
      </c>
      <c r="I26" s="8" t="str">
        <f t="shared" si="1"/>
        <v/>
      </c>
      <c r="J26" s="9" t="str">
        <f t="shared" ca="1" si="2"/>
        <v/>
      </c>
      <c r="K26" s="3"/>
    </row>
    <row r="27" spans="2:11" ht="14.4" customHeight="1" x14ac:dyDescent="0.3">
      <c r="B27" s="7"/>
      <c r="C27" s="3"/>
      <c r="D27" s="3"/>
      <c r="E27" s="3"/>
      <c r="F27" s="3"/>
      <c r="G27" s="4"/>
      <c r="H27" s="8" t="str">
        <f t="shared" si="0"/>
        <v/>
      </c>
      <c r="I27" s="8" t="str">
        <f t="shared" si="1"/>
        <v/>
      </c>
      <c r="J27" s="9" t="str">
        <f t="shared" ca="1" si="2"/>
        <v/>
      </c>
      <c r="K27" s="3"/>
    </row>
    <row r="28" spans="2:11" ht="14.4" customHeight="1" x14ac:dyDescent="0.3">
      <c r="B28" s="7"/>
      <c r="C28" s="3"/>
      <c r="D28" s="3"/>
      <c r="E28" s="3"/>
      <c r="F28" s="3"/>
      <c r="G28" s="4"/>
      <c r="H28" s="8" t="str">
        <f t="shared" si="0"/>
        <v/>
      </c>
      <c r="I28" s="8" t="str">
        <f t="shared" si="1"/>
        <v/>
      </c>
      <c r="J28" s="9" t="str">
        <f t="shared" ca="1" si="2"/>
        <v/>
      </c>
      <c r="K28" s="3"/>
    </row>
    <row r="29" spans="2:11" ht="14.4" customHeight="1" x14ac:dyDescent="0.3">
      <c r="B29" s="7"/>
      <c r="C29" s="3"/>
      <c r="D29" s="3"/>
      <c r="E29" s="3"/>
      <c r="F29" s="3"/>
      <c r="G29" s="4"/>
      <c r="H29" s="8" t="str">
        <f t="shared" si="0"/>
        <v/>
      </c>
      <c r="I29" s="8" t="str">
        <f t="shared" si="1"/>
        <v/>
      </c>
      <c r="J29" s="9" t="str">
        <f t="shared" ca="1" si="2"/>
        <v/>
      </c>
      <c r="K29" s="3"/>
    </row>
    <row r="30" spans="2:11" ht="14.4" customHeight="1" x14ac:dyDescent="0.3">
      <c r="B30" s="7"/>
      <c r="C30" s="3"/>
      <c r="D30" s="3"/>
      <c r="E30" s="3"/>
      <c r="F30" s="3"/>
      <c r="G30" s="4"/>
      <c r="H30" s="8" t="str">
        <f t="shared" si="0"/>
        <v/>
      </c>
      <c r="I30" s="8" t="str">
        <f t="shared" si="1"/>
        <v/>
      </c>
      <c r="J30" s="9" t="str">
        <f t="shared" ca="1" si="2"/>
        <v/>
      </c>
      <c r="K30" s="3"/>
    </row>
    <row r="31" spans="2:11" ht="14.4" customHeight="1" x14ac:dyDescent="0.3">
      <c r="B31" s="7"/>
      <c r="C31" s="3"/>
      <c r="D31" s="3"/>
      <c r="E31" s="3"/>
      <c r="F31" s="3"/>
      <c r="G31" s="4"/>
      <c r="H31" s="8" t="str">
        <f t="shared" si="0"/>
        <v/>
      </c>
      <c r="I31" s="8" t="str">
        <f t="shared" si="1"/>
        <v/>
      </c>
      <c r="J31" s="9" t="str">
        <f t="shared" ca="1" si="2"/>
        <v/>
      </c>
      <c r="K31" s="3"/>
    </row>
    <row r="32" spans="2:11" ht="14.4" customHeight="1" x14ac:dyDescent="0.3">
      <c r="B32" s="7"/>
      <c r="C32" s="3"/>
      <c r="D32" s="3"/>
      <c r="E32" s="3"/>
      <c r="F32" s="3"/>
      <c r="G32" s="4"/>
      <c r="H32" s="8" t="str">
        <f t="shared" si="0"/>
        <v/>
      </c>
      <c r="I32" s="8" t="str">
        <f t="shared" si="1"/>
        <v/>
      </c>
      <c r="J32" s="9" t="str">
        <f t="shared" ca="1" si="2"/>
        <v/>
      </c>
      <c r="K32" s="3"/>
    </row>
    <row r="33" spans="2:11" ht="14.4" customHeight="1" x14ac:dyDescent="0.3">
      <c r="B33" s="7"/>
      <c r="C33" s="3"/>
      <c r="D33" s="3"/>
      <c r="E33" s="3"/>
      <c r="F33" s="3"/>
      <c r="G33" s="4"/>
      <c r="H33" s="8" t="str">
        <f t="shared" si="0"/>
        <v/>
      </c>
      <c r="I33" s="8" t="str">
        <f t="shared" si="1"/>
        <v/>
      </c>
      <c r="J33" s="9" t="str">
        <f t="shared" ca="1" si="2"/>
        <v/>
      </c>
      <c r="K33" s="3"/>
    </row>
    <row r="34" spans="2:11" ht="14.4" customHeight="1" x14ac:dyDescent="0.3">
      <c r="B34" s="7"/>
      <c r="C34" s="3"/>
      <c r="D34" s="3"/>
      <c r="E34" s="3"/>
      <c r="F34" s="3"/>
      <c r="G34" s="4"/>
      <c r="H34" s="8" t="str">
        <f t="shared" si="0"/>
        <v/>
      </c>
      <c r="I34" s="8" t="str">
        <f t="shared" si="1"/>
        <v/>
      </c>
      <c r="J34" s="9" t="str">
        <f t="shared" ca="1" si="2"/>
        <v/>
      </c>
      <c r="K34" s="3"/>
    </row>
    <row r="35" spans="2:11" ht="14.4" customHeight="1" x14ac:dyDescent="0.3">
      <c r="B35" s="7"/>
      <c r="C35" s="3"/>
      <c r="D35" s="3"/>
      <c r="E35" s="3"/>
      <c r="F35" s="3"/>
      <c r="G35" s="4"/>
      <c r="H35" s="8" t="str">
        <f t="shared" si="0"/>
        <v/>
      </c>
      <c r="I35" s="8" t="str">
        <f t="shared" si="1"/>
        <v/>
      </c>
      <c r="J35" s="9" t="str">
        <f t="shared" ca="1" si="2"/>
        <v/>
      </c>
      <c r="K35" s="3"/>
    </row>
    <row r="36" spans="2:11" ht="14.4" customHeight="1" x14ac:dyDescent="0.3">
      <c r="B36" s="7"/>
      <c r="C36" s="3"/>
      <c r="D36" s="3"/>
      <c r="E36" s="3"/>
      <c r="F36" s="3"/>
      <c r="G36" s="4"/>
      <c r="H36" s="8" t="str">
        <f t="shared" si="0"/>
        <v/>
      </c>
      <c r="I36" s="8" t="str">
        <f t="shared" si="1"/>
        <v/>
      </c>
      <c r="J36" s="9" t="str">
        <f t="shared" ca="1" si="2"/>
        <v/>
      </c>
      <c r="K36" s="3"/>
    </row>
    <row r="37" spans="2:11" ht="14.4" customHeight="1" x14ac:dyDescent="0.3">
      <c r="B37" s="7"/>
      <c r="C37" s="3"/>
      <c r="D37" s="3"/>
      <c r="E37" s="3"/>
      <c r="F37" s="3"/>
      <c r="G37" s="4"/>
      <c r="H37" s="8" t="str">
        <f t="shared" si="0"/>
        <v/>
      </c>
      <c r="I37" s="8" t="str">
        <f t="shared" si="1"/>
        <v/>
      </c>
      <c r="J37" s="9" t="str">
        <f t="shared" ca="1" si="2"/>
        <v/>
      </c>
      <c r="K37" s="3"/>
    </row>
    <row r="38" spans="2:11" ht="14.4" customHeight="1" x14ac:dyDescent="0.3">
      <c r="B38" s="7"/>
      <c r="C38" s="3"/>
      <c r="D38" s="3"/>
      <c r="E38" s="3"/>
      <c r="F38" s="3"/>
      <c r="G38" s="4"/>
      <c r="H38" s="8" t="str">
        <f t="shared" si="0"/>
        <v/>
      </c>
      <c r="I38" s="8" t="str">
        <f t="shared" si="1"/>
        <v/>
      </c>
      <c r="J38" s="9" t="str">
        <f t="shared" ca="1" si="2"/>
        <v/>
      </c>
      <c r="K38" s="3"/>
    </row>
    <row r="39" spans="2:11" ht="14.4" customHeight="1" x14ac:dyDescent="0.3">
      <c r="B39" s="7"/>
      <c r="C39" s="3"/>
      <c r="D39" s="3"/>
      <c r="E39" s="3"/>
      <c r="F39" s="3"/>
      <c r="G39" s="4"/>
      <c r="H39" s="8" t="str">
        <f t="shared" si="0"/>
        <v/>
      </c>
      <c r="I39" s="8" t="str">
        <f t="shared" si="1"/>
        <v/>
      </c>
      <c r="J39" s="9" t="str">
        <f t="shared" ca="1" si="2"/>
        <v/>
      </c>
      <c r="K39" s="3"/>
    </row>
    <row r="40" spans="2:11" ht="14.4" customHeight="1" x14ac:dyDescent="0.3">
      <c r="B40" s="7"/>
      <c r="C40" s="3"/>
      <c r="D40" s="3"/>
      <c r="E40" s="3"/>
      <c r="F40" s="3"/>
      <c r="G40" s="4"/>
      <c r="H40" s="8" t="str">
        <f t="shared" si="0"/>
        <v/>
      </c>
      <c r="I40" s="8" t="str">
        <f t="shared" si="1"/>
        <v/>
      </c>
      <c r="J40" s="9" t="str">
        <f t="shared" ca="1" si="2"/>
        <v/>
      </c>
      <c r="K40" s="3"/>
    </row>
    <row r="41" spans="2:11" ht="14.4" customHeight="1" x14ac:dyDescent="0.3">
      <c r="B41" s="7"/>
      <c r="C41" s="3"/>
      <c r="D41" s="3"/>
      <c r="E41" s="3"/>
      <c r="F41" s="3"/>
      <c r="G41" s="4"/>
      <c r="H41" s="8" t="str">
        <f t="shared" si="0"/>
        <v/>
      </c>
      <c r="I41" s="8" t="str">
        <f t="shared" si="1"/>
        <v/>
      </c>
      <c r="J41" s="9" t="str">
        <f t="shared" ca="1" si="2"/>
        <v/>
      </c>
      <c r="K41" s="3"/>
    </row>
    <row r="42" spans="2:11" ht="14.4" customHeight="1" x14ac:dyDescent="0.3">
      <c r="B42" s="7"/>
      <c r="C42" s="3"/>
      <c r="D42" s="3"/>
      <c r="E42" s="3"/>
      <c r="F42" s="3"/>
      <c r="G42" s="4"/>
      <c r="H42" s="8" t="str">
        <f t="shared" si="0"/>
        <v/>
      </c>
      <c r="I42" s="8" t="str">
        <f t="shared" si="1"/>
        <v/>
      </c>
      <c r="J42" s="9" t="str">
        <f t="shared" ca="1" si="2"/>
        <v/>
      </c>
      <c r="K42" s="3"/>
    </row>
    <row r="43" spans="2:11" ht="14.4" customHeight="1" x14ac:dyDescent="0.3">
      <c r="B43" s="7"/>
      <c r="C43" s="3"/>
      <c r="D43" s="3"/>
      <c r="E43" s="3"/>
      <c r="F43" s="3"/>
      <c r="G43" s="4"/>
      <c r="H43" s="8" t="str">
        <f t="shared" si="0"/>
        <v/>
      </c>
      <c r="I43" s="8" t="str">
        <f t="shared" si="1"/>
        <v/>
      </c>
      <c r="J43" s="9" t="str">
        <f t="shared" ca="1" si="2"/>
        <v/>
      </c>
      <c r="K43" s="3"/>
    </row>
    <row r="44" spans="2:11" ht="14.4" customHeight="1" x14ac:dyDescent="0.3">
      <c r="B44" s="7"/>
      <c r="C44" s="3"/>
      <c r="D44" s="3"/>
      <c r="E44" s="3"/>
      <c r="F44" s="3"/>
      <c r="G44" s="4"/>
      <c r="H44" s="8" t="str">
        <f t="shared" si="0"/>
        <v/>
      </c>
      <c r="I44" s="8" t="str">
        <f t="shared" si="1"/>
        <v/>
      </c>
      <c r="J44" s="9" t="str">
        <f t="shared" ca="1" si="2"/>
        <v/>
      </c>
      <c r="K44" s="3"/>
    </row>
    <row r="45" spans="2:11" ht="14.4" customHeight="1" x14ac:dyDescent="0.3">
      <c r="B45" s="7"/>
      <c r="C45" s="3"/>
      <c r="D45" s="3"/>
      <c r="E45" s="3"/>
      <c r="F45" s="3"/>
      <c r="G45" s="4"/>
      <c r="H45" s="8" t="str">
        <f t="shared" si="0"/>
        <v/>
      </c>
      <c r="I45" s="8" t="str">
        <f t="shared" si="1"/>
        <v/>
      </c>
      <c r="J45" s="9" t="str">
        <f t="shared" ca="1" si="2"/>
        <v/>
      </c>
      <c r="K45" s="3"/>
    </row>
  </sheetData>
  <autoFilter ref="B4:J4" xr:uid="{9468C245-A280-4F44-86AD-CE6D3960B496}">
    <filterColumn colId="6" showButton="0"/>
  </autoFilter>
  <mergeCells count="2">
    <mergeCell ref="H4:I4"/>
    <mergeCell ref="B2:K2"/>
  </mergeCells>
  <conditionalFormatting sqref="E5:E45">
    <cfRule type="cellIs" dxfId="6" priority="6" operator="equal">
      <formula>"Frio"</formula>
    </cfRule>
    <cfRule type="cellIs" dxfId="5" priority="7" operator="equal">
      <formula>"Morno"</formula>
    </cfRule>
    <cfRule type="cellIs" dxfId="4" priority="8" operator="equal">
      <formula>"quente"</formula>
    </cfRule>
  </conditionalFormatting>
  <conditionalFormatting sqref="J1 J3:J1048576">
    <cfRule type="cellIs" dxfId="3" priority="2" operator="equal">
      <formula>"Se preparar para contato ⚠️"</formula>
    </cfRule>
  </conditionalFormatting>
  <conditionalFormatting sqref="J5:J45">
    <cfRule type="cellIs" dxfId="2" priority="1" operator="equal">
      <formula>"Em dia ✅"</formula>
    </cfRule>
    <cfRule type="cellIs" dxfId="1" priority="3" operator="equal">
      <formula>"Vence amanhã 🕘"</formula>
    </cfRule>
    <cfRule type="cellIs" dxfId="0" priority="4" operator="equal">
      <formula>"Em atraso ❗"</formula>
    </cfRule>
  </conditionalFormatting>
  <dataValidations count="2">
    <dataValidation type="list" allowBlank="1" showInputMessage="1" showErrorMessage="1" sqref="F5:F45" xr:uid="{605FBB20-76D5-4F9A-8D8F-785C4745564C}">
      <formula1>"Em negociação,Relacionamento,Aceitou,Recusou,Não Localizado"</formula1>
    </dataValidation>
    <dataValidation type="list" allowBlank="1" showInputMessage="1" showErrorMessage="1" sqref="E20:E45 E5:E18" xr:uid="{3A7D5147-D71E-4AD1-A334-B70D6BDFDDD0}">
      <formula1>"Quente, Morno, Frio"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Consórcio</vt:lpstr>
      <vt:lpstr>Clientes e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Guimarães</dc:creator>
  <cp:lastModifiedBy>Stephany Guimarães</cp:lastModifiedBy>
  <dcterms:created xsi:type="dcterms:W3CDTF">2025-06-01T11:27:37Z</dcterms:created>
  <dcterms:modified xsi:type="dcterms:W3CDTF">2026-01-13T03:13:53Z</dcterms:modified>
</cp:coreProperties>
</file>